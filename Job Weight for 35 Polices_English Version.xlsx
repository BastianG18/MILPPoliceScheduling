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ames陳正恩\Data Prepared for Submission\"/>
    </mc:Choice>
  </mc:AlternateContent>
  <xr:revisionPtr revIDLastSave="0" documentId="13_ncr:1_{B4301581-A8EA-4385-B094-398B57E62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權重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8" i="5" l="1"/>
  <c r="N37" i="5"/>
  <c r="O37" i="5"/>
  <c r="P37" i="5"/>
  <c r="Q37" i="5"/>
  <c r="R37" i="5"/>
  <c r="R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l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</calcChain>
</file>

<file path=xl/sharedStrings.xml><?xml version="1.0" encoding="utf-8"?>
<sst xmlns="http://schemas.openxmlformats.org/spreadsheetml/2006/main" count="20" uniqueCount="20">
  <si>
    <t>police officer</t>
  </si>
  <si>
    <t>Mission level</t>
  </si>
  <si>
    <t>Personnel level</t>
  </si>
  <si>
    <t>Environmental level</t>
  </si>
  <si>
    <t>Psychological needs</t>
  </si>
  <si>
    <t>Physiological needs</t>
  </si>
  <si>
    <t>On Duty</t>
  </si>
  <si>
    <t>Patrol</t>
  </si>
  <si>
    <t>Standby</t>
  </si>
  <si>
    <t>Traffic Control</t>
  </si>
  <si>
    <t>Spot Checks</t>
  </si>
  <si>
    <t>Time requirements</t>
  </si>
  <si>
    <t>Work performance</t>
  </si>
  <si>
    <t>Effort level</t>
  </si>
  <si>
    <t>Frustration level</t>
  </si>
  <si>
    <t>Rules and regulations</t>
  </si>
  <si>
    <t>Staffing ratio</t>
  </si>
  <si>
    <t>Modern equipment and tools</t>
  </si>
  <si>
    <t>Original weights</t>
  </si>
  <si>
    <t>Geometric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</si>
</sst>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 wrapText="1"/>
    </xf>
    <xf numFmtId="165" fontId="8" fillId="0" borderId="1" xfId="3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1" xfId="2" applyNumberFormat="1" applyFont="1" applyFill="1" applyBorder="1" applyAlignment="1">
      <alignment horizontal="center" vertical="center" wrapText="1"/>
    </xf>
    <xf numFmtId="165" fontId="8" fillId="0" borderId="1" xfId="4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6" borderId="1" xfId="4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</cellXfs>
  <cellStyles count="5">
    <cellStyle name="40% - Accent6" xfId="4" builtinId="51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showGridLines="0" tabSelected="1" zoomScale="70" zoomScaleNormal="70" workbookViewId="0">
      <selection activeCell="O1" sqref="O1"/>
    </sheetView>
  </sheetViews>
  <sheetFormatPr defaultRowHeight="15.75"/>
  <cols>
    <col min="1" max="1" width="13.625" customWidth="1"/>
    <col min="2" max="3" width="14.125" customWidth="1"/>
    <col min="4" max="4" width="15.25" customWidth="1"/>
    <col min="5" max="5" width="15.875" customWidth="1"/>
    <col min="6" max="6" width="16.25" customWidth="1"/>
    <col min="7" max="7" width="13.875" customWidth="1"/>
    <col min="8" max="12" width="14.125" customWidth="1"/>
    <col min="13" max="13" width="20.25" customWidth="1"/>
    <col min="14" max="14" width="17.375" style="1" customWidth="1"/>
    <col min="15" max="18" width="12.5" style="1" bestFit="1" customWidth="1"/>
  </cols>
  <sheetData>
    <row r="1" spans="1:18" ht="31.5">
      <c r="A1" s="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11</v>
      </c>
      <c r="H1" s="14" t="s">
        <v>12</v>
      </c>
      <c r="I1" s="14" t="s">
        <v>13</v>
      </c>
      <c r="J1" s="14" t="s">
        <v>14</v>
      </c>
      <c r="K1" s="14" t="s">
        <v>15</v>
      </c>
      <c r="L1" s="14" t="s">
        <v>16</v>
      </c>
      <c r="M1" s="14" t="s">
        <v>17</v>
      </c>
      <c r="N1" s="6" t="s">
        <v>10</v>
      </c>
      <c r="O1" s="6" t="s">
        <v>6</v>
      </c>
      <c r="P1" s="6" t="s">
        <v>7</v>
      </c>
      <c r="Q1" s="6" t="s">
        <v>8</v>
      </c>
      <c r="R1" s="6" t="s">
        <v>9</v>
      </c>
    </row>
    <row r="2" spans="1:18">
      <c r="A2" s="2">
        <v>1</v>
      </c>
      <c r="B2" s="3">
        <v>0.63698600000000005</v>
      </c>
      <c r="C2" s="3">
        <v>0.25828499999999999</v>
      </c>
      <c r="D2" s="3">
        <v>0.104729</v>
      </c>
      <c r="E2" s="4">
        <v>0.73338400000000004</v>
      </c>
      <c r="F2" s="4">
        <v>0.199071</v>
      </c>
      <c r="G2" s="4">
        <v>6.7544999999999994E-2</v>
      </c>
      <c r="H2" s="5">
        <v>8.1097000000000002E-2</v>
      </c>
      <c r="I2" s="5">
        <v>0.34199800000000002</v>
      </c>
      <c r="J2" s="5">
        <v>0.576905</v>
      </c>
      <c r="K2" s="5">
        <v>0.229048</v>
      </c>
      <c r="L2" s="5">
        <v>7.5428999999999996E-2</v>
      </c>
      <c r="M2" s="5">
        <v>0.695523</v>
      </c>
      <c r="N2" s="6">
        <v>0.40561199999999997</v>
      </c>
      <c r="O2" s="6">
        <v>0.114771</v>
      </c>
      <c r="P2" s="6">
        <v>6.0511000000000002E-2</v>
      </c>
      <c r="Q2" s="6">
        <v>0.14682400000000001</v>
      </c>
      <c r="R2" s="6">
        <v>0.27228200000000002</v>
      </c>
    </row>
    <row r="3" spans="1:18">
      <c r="A3" s="2">
        <f>A2+1</f>
        <v>2</v>
      </c>
      <c r="B3" s="3">
        <v>0.74500599999999995</v>
      </c>
      <c r="C3" s="3">
        <v>0.156442</v>
      </c>
      <c r="D3" s="3">
        <v>9.8552000000000001E-2</v>
      </c>
      <c r="E3" s="4">
        <v>0.70885600000000004</v>
      </c>
      <c r="F3" s="4">
        <v>0.17862</v>
      </c>
      <c r="G3" s="4">
        <v>0.112524</v>
      </c>
      <c r="H3" s="5">
        <v>7.2609000000000007E-2</v>
      </c>
      <c r="I3" s="5">
        <v>0.761158</v>
      </c>
      <c r="J3" s="5">
        <v>0.16623299999999999</v>
      </c>
      <c r="K3" s="5">
        <v>0.15124699999999999</v>
      </c>
      <c r="L3" s="5">
        <v>0.75824599999999998</v>
      </c>
      <c r="M3" s="5">
        <v>9.0507000000000004E-2</v>
      </c>
      <c r="N3" s="7">
        <v>0.41205999999999998</v>
      </c>
      <c r="O3" s="6">
        <v>0.20943100000000001</v>
      </c>
      <c r="P3" s="6">
        <v>5.0404999999999998E-2</v>
      </c>
      <c r="Q3" s="7">
        <v>0.15955</v>
      </c>
      <c r="R3" s="6">
        <v>0.16855400000000001</v>
      </c>
    </row>
    <row r="4" spans="1:18">
      <c r="A4" s="2">
        <f t="shared" ref="A4:A36" si="0">A3+1</f>
        <v>3</v>
      </c>
      <c r="B4" s="3">
        <v>0.26836900000000002</v>
      </c>
      <c r="C4" s="3">
        <v>0.61441100000000004</v>
      </c>
      <c r="D4" s="3">
        <v>0.11722100000000001</v>
      </c>
      <c r="E4" s="4">
        <v>0.65480700000000003</v>
      </c>
      <c r="F4" s="4">
        <v>9.5338000000000006E-2</v>
      </c>
      <c r="G4" s="4">
        <v>0.24985599999999999</v>
      </c>
      <c r="H4" s="8">
        <v>0.1958</v>
      </c>
      <c r="I4" s="5">
        <v>0.31081399999999998</v>
      </c>
      <c r="J4" s="5">
        <v>0.49338599999999999</v>
      </c>
      <c r="K4" s="5">
        <v>0.22553300000000001</v>
      </c>
      <c r="L4" s="5">
        <v>0.67381100000000005</v>
      </c>
      <c r="M4" s="5">
        <v>0.10065399999999999</v>
      </c>
      <c r="N4" s="6">
        <v>0.29599700000000001</v>
      </c>
      <c r="O4" s="6">
        <v>0.12520100000000001</v>
      </c>
      <c r="P4" s="6">
        <v>5.7799000000000003E-2</v>
      </c>
      <c r="Q4" s="6">
        <v>0.16631099999999999</v>
      </c>
      <c r="R4" s="6">
        <v>0.35469200000000001</v>
      </c>
    </row>
    <row r="5" spans="1:18">
      <c r="A5" s="2">
        <f t="shared" si="0"/>
        <v>4</v>
      </c>
      <c r="B5" s="3">
        <v>0.25828499999999999</v>
      </c>
      <c r="C5" s="3">
        <v>0.63698600000000005</v>
      </c>
      <c r="D5" s="3">
        <v>0.104729</v>
      </c>
      <c r="E5" s="4">
        <v>0.63698600000000005</v>
      </c>
      <c r="F5" s="4">
        <v>0.104729</v>
      </c>
      <c r="G5" s="4">
        <v>0.25828499999999999</v>
      </c>
      <c r="H5" s="5">
        <v>0.121957</v>
      </c>
      <c r="I5" s="5">
        <v>0.31961800000000001</v>
      </c>
      <c r="J5" s="5">
        <v>0.55842499999999995</v>
      </c>
      <c r="K5" s="5">
        <v>0.22553500000000001</v>
      </c>
      <c r="L5" s="5">
        <v>0.67381100000000005</v>
      </c>
      <c r="M5" s="5">
        <v>0.10065399999999999</v>
      </c>
      <c r="N5" s="6">
        <v>0.31592500000000001</v>
      </c>
      <c r="O5" s="6">
        <v>0.12956899999999999</v>
      </c>
      <c r="P5" s="6">
        <v>5.2318999999999997E-2</v>
      </c>
      <c r="Q5" s="6">
        <v>0.163994</v>
      </c>
      <c r="R5" s="6">
        <v>0.33819300000000002</v>
      </c>
    </row>
    <row r="6" spans="1:18">
      <c r="A6" s="2">
        <f t="shared" si="0"/>
        <v>5</v>
      </c>
      <c r="B6" s="9">
        <v>0.13650000000000001</v>
      </c>
      <c r="C6" s="3">
        <v>0.238487</v>
      </c>
      <c r="D6" s="3">
        <v>0.62501300000000004</v>
      </c>
      <c r="E6" s="4">
        <v>0.70493600000000001</v>
      </c>
      <c r="F6" s="4">
        <v>8.4143999999999997E-2</v>
      </c>
      <c r="G6" s="10">
        <v>0.21092</v>
      </c>
      <c r="H6" s="5">
        <v>0.11722100000000001</v>
      </c>
      <c r="I6" s="5">
        <v>0.26836900000000002</v>
      </c>
      <c r="J6" s="5">
        <v>0.61441100000000004</v>
      </c>
      <c r="K6" s="5">
        <v>9.8884E-2</v>
      </c>
      <c r="L6" s="8">
        <v>0.36429</v>
      </c>
      <c r="M6" s="5">
        <v>0.536825</v>
      </c>
      <c r="N6" s="6">
        <v>0.31461800000000001</v>
      </c>
      <c r="O6" s="6">
        <v>0.19286200000000001</v>
      </c>
      <c r="P6" s="6">
        <v>0.104064</v>
      </c>
      <c r="Q6" s="6">
        <v>9.8561999999999997E-2</v>
      </c>
      <c r="R6" s="6">
        <v>0.28989399999999999</v>
      </c>
    </row>
    <row r="7" spans="1:18">
      <c r="A7" s="2">
        <f t="shared" si="0"/>
        <v>6</v>
      </c>
      <c r="B7" s="3">
        <v>0.55842499999999995</v>
      </c>
      <c r="C7" s="3">
        <v>0.31961800000000001</v>
      </c>
      <c r="D7" s="3">
        <v>0.121957</v>
      </c>
      <c r="E7" s="4">
        <v>6.3252000000000003E-2</v>
      </c>
      <c r="F7" s="4">
        <v>0.74286700000000006</v>
      </c>
      <c r="G7" s="4">
        <v>0.193882</v>
      </c>
      <c r="H7" s="8">
        <v>0.11685</v>
      </c>
      <c r="I7" s="8">
        <v>0.68333999999999995</v>
      </c>
      <c r="J7" s="8">
        <v>0.19980999999999999</v>
      </c>
      <c r="K7" s="8">
        <v>0.11684</v>
      </c>
      <c r="L7" s="8">
        <v>0.19980999999999999</v>
      </c>
      <c r="M7" s="8">
        <v>0.68333999999999995</v>
      </c>
      <c r="N7" s="6">
        <v>0.25977899999999998</v>
      </c>
      <c r="O7" s="6">
        <v>0.132575</v>
      </c>
      <c r="P7" s="6">
        <v>0.17786399999999999</v>
      </c>
      <c r="Q7" s="6">
        <v>8.1615999999999994E-2</v>
      </c>
      <c r="R7" s="6">
        <v>0.34816599999999998</v>
      </c>
    </row>
    <row r="8" spans="1:18">
      <c r="A8" s="2">
        <f t="shared" si="0"/>
        <v>7</v>
      </c>
      <c r="B8" s="3">
        <v>8.0963999999999994E-2</v>
      </c>
      <c r="C8" s="3">
        <v>0.18839400000000001</v>
      </c>
      <c r="D8" s="3">
        <v>0.73064200000000001</v>
      </c>
      <c r="E8" s="4">
        <v>0.27968799999999999</v>
      </c>
      <c r="F8" s="4">
        <v>9.3616000000000005E-2</v>
      </c>
      <c r="G8" s="4">
        <v>0.62669600000000003</v>
      </c>
      <c r="H8" s="5">
        <v>0.229048</v>
      </c>
      <c r="I8" s="5">
        <v>7.5428999999999996E-2</v>
      </c>
      <c r="J8" s="5">
        <v>0.695523</v>
      </c>
      <c r="K8" s="8">
        <v>0.19980999999999999</v>
      </c>
      <c r="L8" s="8">
        <v>0.11685</v>
      </c>
      <c r="M8" s="8">
        <v>0.68333999999999995</v>
      </c>
      <c r="N8" s="6">
        <v>0.21902199999999999</v>
      </c>
      <c r="O8" s="6">
        <v>0.21720500000000001</v>
      </c>
      <c r="P8" s="6">
        <v>0.15126300000000001</v>
      </c>
      <c r="Q8" s="6">
        <v>0.176339</v>
      </c>
      <c r="R8" s="6">
        <v>0.23617099999999999</v>
      </c>
    </row>
    <row r="9" spans="1:18">
      <c r="A9" s="2">
        <f t="shared" si="0"/>
        <v>8</v>
      </c>
      <c r="B9" s="3">
        <v>0.54980899999999999</v>
      </c>
      <c r="C9" s="9">
        <v>0.36806</v>
      </c>
      <c r="D9" s="3">
        <v>8.2130999999999996E-2</v>
      </c>
      <c r="E9" s="10">
        <v>0.68333999999999995</v>
      </c>
      <c r="F9" s="4">
        <v>0.11685</v>
      </c>
      <c r="G9" s="10">
        <v>0.19980999999999999</v>
      </c>
      <c r="H9" s="5">
        <v>9.8884E-2</v>
      </c>
      <c r="I9" s="5">
        <v>0.364292</v>
      </c>
      <c r="J9" s="5">
        <v>0.536825</v>
      </c>
      <c r="K9" s="5">
        <v>0.19288</v>
      </c>
      <c r="L9" s="5">
        <v>0.70097399999999999</v>
      </c>
      <c r="M9" s="5">
        <v>0.106145</v>
      </c>
      <c r="N9" s="6">
        <v>0.281169</v>
      </c>
      <c r="O9" s="6">
        <v>0.21095700000000001</v>
      </c>
      <c r="P9" s="6">
        <v>0.15911700000000001</v>
      </c>
      <c r="Q9" s="6">
        <v>0.16358900000000001</v>
      </c>
      <c r="R9" s="6">
        <v>0.185168</v>
      </c>
    </row>
    <row r="10" spans="1:18">
      <c r="A10" s="2">
        <f t="shared" si="0"/>
        <v>9</v>
      </c>
      <c r="B10" s="3">
        <v>9.3812999999999994E-2</v>
      </c>
      <c r="C10" s="3">
        <v>0.73959399999999997</v>
      </c>
      <c r="D10" s="3">
        <v>0.16659299999999999</v>
      </c>
      <c r="E10" s="4">
        <v>0.249311</v>
      </c>
      <c r="F10" s="4">
        <v>0.157056</v>
      </c>
      <c r="G10" s="4">
        <v>0.59363299999999997</v>
      </c>
      <c r="H10" s="5">
        <v>0.64832900000000004</v>
      </c>
      <c r="I10" s="8">
        <v>0.12202</v>
      </c>
      <c r="J10" s="5">
        <v>0.22965099999999999</v>
      </c>
      <c r="K10" s="5">
        <v>8.7945999999999996E-2</v>
      </c>
      <c r="L10" s="5">
        <v>0.24263699999999999</v>
      </c>
      <c r="M10" s="5">
        <v>0.66941700000000004</v>
      </c>
      <c r="N10" s="7">
        <v>0.12656999999999999</v>
      </c>
      <c r="O10" s="7">
        <v>0.30142999999999998</v>
      </c>
      <c r="P10" s="6">
        <v>6.6977999999999996E-2</v>
      </c>
      <c r="Q10" s="6">
        <v>0.107318</v>
      </c>
      <c r="R10" s="6">
        <v>0.397704</v>
      </c>
    </row>
    <row r="11" spans="1:18">
      <c r="A11" s="2">
        <f t="shared" si="0"/>
        <v>10</v>
      </c>
      <c r="B11" s="9">
        <v>0.36806</v>
      </c>
      <c r="C11" s="3">
        <v>8.2130999999999996E-2</v>
      </c>
      <c r="D11" s="3">
        <v>0.54980899999999999</v>
      </c>
      <c r="E11" s="4">
        <v>0.55906500000000003</v>
      </c>
      <c r="F11" s="4">
        <v>0.35218899999999997</v>
      </c>
      <c r="G11" s="4">
        <v>8.8746000000000005E-2</v>
      </c>
      <c r="H11" s="5">
        <v>0.49338599999999999</v>
      </c>
      <c r="I11" s="8">
        <v>0.1958</v>
      </c>
      <c r="J11" s="5">
        <v>0.31081399999999998</v>
      </c>
      <c r="K11" s="5">
        <v>0.27634999999999998</v>
      </c>
      <c r="L11" s="5">
        <v>0.128271</v>
      </c>
      <c r="M11" s="5">
        <v>0.59537899999999999</v>
      </c>
      <c r="N11" s="6">
        <v>0.21335100000000001</v>
      </c>
      <c r="O11" s="6">
        <v>0.180121</v>
      </c>
      <c r="P11" s="6">
        <v>0.14594299999999999</v>
      </c>
      <c r="Q11" s="6">
        <v>0.299068</v>
      </c>
      <c r="R11" s="6">
        <v>0.16151699999999999</v>
      </c>
    </row>
    <row r="12" spans="1:18">
      <c r="A12" s="2">
        <f t="shared" si="0"/>
        <v>11</v>
      </c>
      <c r="B12" s="9">
        <v>0.2</v>
      </c>
      <c r="C12" s="9">
        <v>0.4</v>
      </c>
      <c r="D12" s="9">
        <v>0.4</v>
      </c>
      <c r="E12" s="4">
        <v>0.38737100000000002</v>
      </c>
      <c r="F12" s="4">
        <v>0.44342900000000002</v>
      </c>
      <c r="G12" s="10">
        <v>0.16919999999999999</v>
      </c>
      <c r="H12" s="5">
        <v>0.16342400000000001</v>
      </c>
      <c r="I12" s="5">
        <v>0.29696099999999997</v>
      </c>
      <c r="J12" s="5">
        <v>0.53961499999999996</v>
      </c>
      <c r="K12" s="11">
        <v>0.16919999999999999</v>
      </c>
      <c r="L12" s="5">
        <v>0.44342900000000002</v>
      </c>
      <c r="M12" s="5">
        <v>0.38737100000000002</v>
      </c>
      <c r="N12" s="6">
        <v>0.33103500000000002</v>
      </c>
      <c r="O12" s="6">
        <v>0.13456199999999999</v>
      </c>
      <c r="P12" s="6">
        <v>0.105003</v>
      </c>
      <c r="Q12" s="6">
        <v>0.108692</v>
      </c>
      <c r="R12" s="6">
        <v>0.32070799999999999</v>
      </c>
    </row>
    <row r="13" spans="1:18">
      <c r="A13" s="2">
        <f t="shared" si="0"/>
        <v>12</v>
      </c>
      <c r="B13" s="3">
        <v>9.1402999999999998E-2</v>
      </c>
      <c r="C13" s="3">
        <v>0.217638</v>
      </c>
      <c r="D13" s="3">
        <v>0.69095899999999999</v>
      </c>
      <c r="E13" s="4">
        <v>0.268368</v>
      </c>
      <c r="F13" s="4">
        <v>0.11722100000000001</v>
      </c>
      <c r="G13" s="4">
        <v>0.61441100000000004</v>
      </c>
      <c r="H13" s="5">
        <v>0.67381100000000005</v>
      </c>
      <c r="I13" s="5">
        <v>0.10065399999999999</v>
      </c>
      <c r="J13" s="5">
        <v>0.22553500000000001</v>
      </c>
      <c r="K13" s="5">
        <v>7.1927000000000005E-2</v>
      </c>
      <c r="L13" s="5">
        <v>0.64911799999999997</v>
      </c>
      <c r="M13" s="5">
        <v>0.27895500000000001</v>
      </c>
      <c r="N13" s="6">
        <v>0.31062800000000002</v>
      </c>
      <c r="O13" s="6">
        <v>0.15749299999999999</v>
      </c>
      <c r="P13" s="7">
        <v>9.5399999999999999E-2</v>
      </c>
      <c r="Q13" s="6">
        <v>0.101387</v>
      </c>
      <c r="R13" s="6">
        <v>0.335092</v>
      </c>
    </row>
    <row r="14" spans="1:18">
      <c r="A14" s="2">
        <f t="shared" si="0"/>
        <v>13</v>
      </c>
      <c r="B14" s="3">
        <v>8.2341999999999999E-2</v>
      </c>
      <c r="C14" s="3">
        <v>0.315029</v>
      </c>
      <c r="D14" s="3">
        <v>0.60262899999999997</v>
      </c>
      <c r="E14" s="4">
        <v>0.16659299999999999</v>
      </c>
      <c r="F14" s="4">
        <v>0.73959399999999997</v>
      </c>
      <c r="G14" s="4">
        <v>9.3812999999999994E-2</v>
      </c>
      <c r="H14" s="5">
        <v>0.66941700000000004</v>
      </c>
      <c r="I14" s="5">
        <v>8.7945999999999996E-2</v>
      </c>
      <c r="J14" s="5">
        <v>0.24263699999999999</v>
      </c>
      <c r="K14" s="5">
        <v>0.75104199999999999</v>
      </c>
      <c r="L14" s="5">
        <v>8.7151000000000006E-2</v>
      </c>
      <c r="M14" s="5">
        <v>0.16180700000000001</v>
      </c>
      <c r="N14" s="6">
        <v>0.26436599999999999</v>
      </c>
      <c r="O14" s="6">
        <v>0.15324199999999999</v>
      </c>
      <c r="P14" s="6">
        <v>5.3662000000000001E-2</v>
      </c>
      <c r="Q14" s="7">
        <v>0.27185999999999999</v>
      </c>
      <c r="R14" s="6">
        <v>0.25686900000000001</v>
      </c>
    </row>
    <row r="15" spans="1:18">
      <c r="A15" s="2">
        <f t="shared" si="0"/>
        <v>14</v>
      </c>
      <c r="B15" s="3">
        <v>0.33333299999999999</v>
      </c>
      <c r="C15" s="3">
        <v>0.33333299999999999</v>
      </c>
      <c r="D15" s="3">
        <v>0.33333299999999999</v>
      </c>
      <c r="E15" s="4">
        <v>0.33333299999999999</v>
      </c>
      <c r="F15" s="4">
        <v>0.33333299999999999</v>
      </c>
      <c r="G15" s="4">
        <v>0.33333299999999999</v>
      </c>
      <c r="H15" s="5">
        <v>0.16342400000000001</v>
      </c>
      <c r="I15" s="5">
        <v>0.53961499999999996</v>
      </c>
      <c r="J15" s="5">
        <v>0.29696099999999997</v>
      </c>
      <c r="K15" s="5">
        <v>0.215836</v>
      </c>
      <c r="L15" s="5">
        <v>0.10251300000000001</v>
      </c>
      <c r="M15" s="5">
        <v>0.68165100000000001</v>
      </c>
      <c r="N15" s="7">
        <v>9.8629999999999995E-2</v>
      </c>
      <c r="O15" s="6">
        <v>0.26603700000000002</v>
      </c>
      <c r="P15" s="6">
        <v>0.28669800000000001</v>
      </c>
      <c r="Q15" s="6">
        <v>0.27224300000000001</v>
      </c>
      <c r="R15" s="6">
        <v>7.6392000000000002E-2</v>
      </c>
    </row>
    <row r="16" spans="1:18">
      <c r="A16" s="2">
        <f t="shared" si="0"/>
        <v>15</v>
      </c>
      <c r="B16" s="3">
        <v>0.57123999999999997</v>
      </c>
      <c r="C16" s="3">
        <v>5.4491999999999999E-2</v>
      </c>
      <c r="D16" s="3">
        <v>0.37426799999999999</v>
      </c>
      <c r="E16" s="4">
        <v>0.12531999999999999</v>
      </c>
      <c r="F16" s="4">
        <v>7.8947000000000003E-2</v>
      </c>
      <c r="G16" s="4">
        <v>0.79573300000000002</v>
      </c>
      <c r="H16" s="5">
        <v>0.78567699999999996</v>
      </c>
      <c r="I16" s="5">
        <v>0.11439199999999999</v>
      </c>
      <c r="J16" s="5">
        <v>9.9931000000000006E-2</v>
      </c>
      <c r="K16" s="5">
        <v>0.62644500000000003</v>
      </c>
      <c r="L16" s="5">
        <v>7.2391999999999998E-2</v>
      </c>
      <c r="M16" s="5">
        <v>0.30116300000000001</v>
      </c>
      <c r="N16" s="6">
        <v>0.32491300000000001</v>
      </c>
      <c r="O16" s="6">
        <v>0.13341600000000001</v>
      </c>
      <c r="P16" s="6">
        <v>0.15575800000000001</v>
      </c>
      <c r="Q16" s="6">
        <v>0.168266</v>
      </c>
      <c r="R16" s="6">
        <v>0.21764700000000001</v>
      </c>
    </row>
    <row r="17" spans="1:18">
      <c r="A17" s="2">
        <f t="shared" si="0"/>
        <v>16</v>
      </c>
      <c r="B17" s="3">
        <v>0.19192100000000001</v>
      </c>
      <c r="C17" s="3">
        <v>0.174371</v>
      </c>
      <c r="D17" s="3">
        <v>0.63370800000000005</v>
      </c>
      <c r="E17" s="4">
        <v>0.71665299999999998</v>
      </c>
      <c r="F17" s="4">
        <v>7.8256000000000006E-2</v>
      </c>
      <c r="G17" s="4">
        <v>0.205091</v>
      </c>
      <c r="H17" s="5">
        <v>0.68333999999999995</v>
      </c>
      <c r="I17" s="5">
        <v>0.11685</v>
      </c>
      <c r="J17" s="5">
        <v>0.19980999999999999</v>
      </c>
      <c r="K17" s="5">
        <v>0.34199800000000002</v>
      </c>
      <c r="L17" s="5">
        <v>0.576905</v>
      </c>
      <c r="M17" s="5">
        <v>8.1097000000000002E-2</v>
      </c>
      <c r="N17" s="6">
        <v>0.33730900000000003</v>
      </c>
      <c r="O17" s="7">
        <v>0.24646999999999999</v>
      </c>
      <c r="P17" s="6">
        <v>0.12255099999999999</v>
      </c>
      <c r="Q17" s="6">
        <v>0.10294399999999999</v>
      </c>
      <c r="R17" s="6">
        <v>0.19072600000000001</v>
      </c>
    </row>
    <row r="18" spans="1:18">
      <c r="A18" s="2">
        <f t="shared" si="0"/>
        <v>17</v>
      </c>
      <c r="B18" s="3">
        <v>0.81421299999999996</v>
      </c>
      <c r="C18" s="3">
        <v>7.1804999999999994E-2</v>
      </c>
      <c r="D18" s="3">
        <v>0.113983</v>
      </c>
      <c r="E18" s="4">
        <v>0.237042</v>
      </c>
      <c r="F18" s="4">
        <v>6.4342999999999997E-2</v>
      </c>
      <c r="G18" s="4">
        <v>0.69861499999999999</v>
      </c>
      <c r="H18" s="5">
        <v>7.6021000000000005E-2</v>
      </c>
      <c r="I18" s="5">
        <v>0.131221</v>
      </c>
      <c r="J18" s="5">
        <v>0.79275700000000004</v>
      </c>
      <c r="K18" s="5">
        <v>0.53961499999999996</v>
      </c>
      <c r="L18" s="5">
        <v>0.16342400000000001</v>
      </c>
      <c r="M18" s="5">
        <v>0.29696099999999997</v>
      </c>
      <c r="N18" s="6">
        <v>0.441664</v>
      </c>
      <c r="O18" s="6">
        <v>0.103066</v>
      </c>
      <c r="P18" s="6">
        <v>8.2738000000000006E-2</v>
      </c>
      <c r="Q18" s="6">
        <v>0.19819800000000001</v>
      </c>
      <c r="R18" s="6">
        <v>0.17433699999999999</v>
      </c>
    </row>
    <row r="19" spans="1:18">
      <c r="A19" s="2">
        <f t="shared" si="0"/>
        <v>18</v>
      </c>
      <c r="B19" s="3">
        <v>9.0909000000000004E-2</v>
      </c>
      <c r="C19" s="3">
        <v>0.81818199999999996</v>
      </c>
      <c r="D19" s="3">
        <v>9.0909000000000004E-2</v>
      </c>
      <c r="E19" s="4">
        <v>0.24985599999999999</v>
      </c>
      <c r="F19" s="4">
        <v>0.65480700000000003</v>
      </c>
      <c r="G19" s="4">
        <v>9.5338000000000006E-2</v>
      </c>
      <c r="H19" s="5">
        <v>0.33333299999999999</v>
      </c>
      <c r="I19" s="5">
        <v>0.33333299999999999</v>
      </c>
      <c r="J19" s="5">
        <v>0.33333299999999999</v>
      </c>
      <c r="K19" s="5">
        <v>0.46291399999999999</v>
      </c>
      <c r="L19" s="5">
        <v>0.48144999999999999</v>
      </c>
      <c r="M19" s="5">
        <v>5.5635999999999998E-2</v>
      </c>
      <c r="N19" s="6">
        <v>0.317077</v>
      </c>
      <c r="O19" s="6">
        <v>5.3400999999999997E-2</v>
      </c>
      <c r="P19" s="6">
        <v>0.27337800000000001</v>
      </c>
      <c r="Q19" s="6">
        <v>5.0188000000000003E-2</v>
      </c>
      <c r="R19" s="6">
        <v>0.30595600000000001</v>
      </c>
    </row>
    <row r="20" spans="1:18">
      <c r="A20" s="2">
        <f>A19+1</f>
        <v>19</v>
      </c>
      <c r="B20" s="3">
        <v>0.64911799999999997</v>
      </c>
      <c r="C20" s="3">
        <v>0.27895500000000001</v>
      </c>
      <c r="D20" s="3">
        <v>7.1927000000000005E-2</v>
      </c>
      <c r="E20" s="4">
        <v>0.70852400000000004</v>
      </c>
      <c r="F20" s="4">
        <v>0.23114799999999999</v>
      </c>
      <c r="G20" s="4">
        <v>6.0328E-2</v>
      </c>
      <c r="H20" s="5">
        <v>0.12654299999999999</v>
      </c>
      <c r="I20" s="5">
        <v>0.186476</v>
      </c>
      <c r="J20" s="5">
        <v>0.68698099999999995</v>
      </c>
      <c r="K20" s="5">
        <v>0.10065399999999999</v>
      </c>
      <c r="L20" s="5">
        <v>0.67381100000000005</v>
      </c>
      <c r="M20" s="5">
        <v>0.22553500000000001</v>
      </c>
      <c r="N20" s="6">
        <v>0.200823</v>
      </c>
      <c r="O20" s="6">
        <v>0.28839599999999999</v>
      </c>
      <c r="P20" s="6">
        <v>0.373305</v>
      </c>
      <c r="Q20" s="6">
        <v>4.0364999999999998E-2</v>
      </c>
      <c r="R20" s="6">
        <v>9.7111000000000003E-2</v>
      </c>
    </row>
    <row r="21" spans="1:18">
      <c r="A21" s="2">
        <f t="shared" si="0"/>
        <v>20</v>
      </c>
      <c r="B21" s="3">
        <v>0.28720299999999999</v>
      </c>
      <c r="C21" s="3">
        <v>0.63483800000000001</v>
      </c>
      <c r="D21" s="3">
        <v>7.7959000000000001E-2</v>
      </c>
      <c r="E21" s="4">
        <v>0.217166</v>
      </c>
      <c r="F21" s="4">
        <v>6.5768999999999994E-2</v>
      </c>
      <c r="G21" s="4">
        <v>0.71706499999999995</v>
      </c>
      <c r="H21" s="5">
        <v>0.121957</v>
      </c>
      <c r="I21" s="5">
        <v>0.31961800000000001</v>
      </c>
      <c r="J21" s="5">
        <v>0.55842499999999995</v>
      </c>
      <c r="K21" s="5">
        <v>8.7945999999999996E-2</v>
      </c>
      <c r="L21" s="5">
        <v>0.66941700000000004</v>
      </c>
      <c r="M21" s="5">
        <v>0.24263699999999999</v>
      </c>
      <c r="N21" s="6">
        <v>0.18944800000000001</v>
      </c>
      <c r="O21" s="6">
        <v>0.27594299999999999</v>
      </c>
      <c r="P21" s="6">
        <v>0.22805400000000001</v>
      </c>
      <c r="Q21" s="6">
        <v>3.1740999999999998E-2</v>
      </c>
      <c r="R21" s="6">
        <v>0.274814</v>
      </c>
    </row>
    <row r="22" spans="1:18">
      <c r="A22" s="2">
        <f t="shared" si="0"/>
        <v>21</v>
      </c>
      <c r="B22" s="3">
        <v>0.113983</v>
      </c>
      <c r="C22" s="3">
        <v>0.81421299999999996</v>
      </c>
      <c r="D22" s="3">
        <v>0.71804999999999997</v>
      </c>
      <c r="E22" s="4">
        <v>0.70852400000000004</v>
      </c>
      <c r="F22" s="4">
        <v>0.23114799999999999</v>
      </c>
      <c r="G22" s="4">
        <v>6.0328E-2</v>
      </c>
      <c r="H22" s="5">
        <v>0.15618199999999999</v>
      </c>
      <c r="I22" s="5">
        <v>0.65864400000000001</v>
      </c>
      <c r="J22" s="5">
        <v>0.18517400000000001</v>
      </c>
      <c r="K22" s="5">
        <v>7.3248999999999995E-2</v>
      </c>
      <c r="L22" s="5">
        <v>7.4133000000000004E-2</v>
      </c>
      <c r="M22" s="5">
        <v>0.85261799999999999</v>
      </c>
      <c r="N22" s="6">
        <v>0.17566699999999999</v>
      </c>
      <c r="O22" s="6">
        <v>0.46274199999999999</v>
      </c>
      <c r="P22" s="6">
        <v>0.22015699999999999</v>
      </c>
      <c r="Q22" s="6">
        <v>5.9343E-2</v>
      </c>
      <c r="R22" s="6">
        <v>8.2090999999999997E-2</v>
      </c>
    </row>
    <row r="23" spans="1:18">
      <c r="A23" s="2">
        <f t="shared" si="0"/>
        <v>22</v>
      </c>
      <c r="B23" s="3">
        <v>0.27055699999999999</v>
      </c>
      <c r="C23" s="3">
        <v>0.64422299999999999</v>
      </c>
      <c r="D23" s="3">
        <v>8.5220000000000004E-2</v>
      </c>
      <c r="E23" s="4">
        <v>0.25828499999999999</v>
      </c>
      <c r="F23" s="4">
        <v>0.104729</v>
      </c>
      <c r="G23" s="4">
        <v>0.63698600000000005</v>
      </c>
      <c r="H23" s="5">
        <v>0.55842499999999995</v>
      </c>
      <c r="I23" s="5">
        <v>0.121957</v>
      </c>
      <c r="J23" s="5">
        <v>0.31961800000000001</v>
      </c>
      <c r="K23" s="5">
        <v>0.10065399999999999</v>
      </c>
      <c r="L23" s="5">
        <v>0.22553500000000001</v>
      </c>
      <c r="M23" s="5">
        <v>0.67381100000000005</v>
      </c>
      <c r="N23" s="6">
        <v>0.27554699999999999</v>
      </c>
      <c r="O23" s="6">
        <v>0.19910900000000001</v>
      </c>
      <c r="P23" s="7">
        <v>0.37017</v>
      </c>
      <c r="Q23" s="6">
        <v>3.8889E-2</v>
      </c>
      <c r="R23" s="6">
        <v>0.116285</v>
      </c>
    </row>
    <row r="24" spans="1:18">
      <c r="A24" s="2">
        <f t="shared" si="0"/>
        <v>23</v>
      </c>
      <c r="B24" s="3">
        <v>0.42001699999999997</v>
      </c>
      <c r="C24" s="3">
        <v>0.51092599999999999</v>
      </c>
      <c r="D24" s="3">
        <v>6.9056999999999993E-2</v>
      </c>
      <c r="E24" s="4">
        <v>0.148815</v>
      </c>
      <c r="F24" s="4">
        <v>6.5794000000000005E-2</v>
      </c>
      <c r="G24" s="4">
        <v>0.78539099999999995</v>
      </c>
      <c r="H24" s="5">
        <v>0.318662</v>
      </c>
      <c r="I24" s="5">
        <v>6.6009999999999999E-2</v>
      </c>
      <c r="J24" s="5">
        <v>0.61532799999999999</v>
      </c>
      <c r="K24" s="5">
        <v>6.0328E-2</v>
      </c>
      <c r="L24" s="5">
        <v>0.70852400000000004</v>
      </c>
      <c r="M24" s="5">
        <v>0.23114799999999999</v>
      </c>
      <c r="N24" s="6">
        <v>0.24021400000000001</v>
      </c>
      <c r="O24" s="6">
        <v>0.39957900000000002</v>
      </c>
      <c r="P24" s="6">
        <v>0.199271</v>
      </c>
      <c r="Q24" s="6">
        <v>3.7997000000000003E-2</v>
      </c>
      <c r="R24" s="6">
        <v>0.12293900000000001</v>
      </c>
    </row>
    <row r="25" spans="1:18">
      <c r="A25" s="2">
        <f>A24+1</f>
        <v>24</v>
      </c>
      <c r="B25" s="3">
        <v>0.64911799999999997</v>
      </c>
      <c r="C25" s="3">
        <v>0.27895500000000001</v>
      </c>
      <c r="D25" s="3">
        <v>7.1927000000000005E-2</v>
      </c>
      <c r="E25" s="4">
        <v>0.121809</v>
      </c>
      <c r="F25" s="4">
        <v>0.80440999999999996</v>
      </c>
      <c r="G25" s="4">
        <v>7.3780999999999999E-2</v>
      </c>
      <c r="H25" s="5">
        <v>0.26836900000000002</v>
      </c>
      <c r="I25" s="5">
        <v>0.11722100000000001</v>
      </c>
      <c r="J25" s="5">
        <v>0.61441100000000004</v>
      </c>
      <c r="K25" s="5">
        <v>0.186475</v>
      </c>
      <c r="L25" s="5">
        <v>0.68698099999999995</v>
      </c>
      <c r="M25" s="5">
        <v>0.12654299999999999</v>
      </c>
      <c r="N25" s="6">
        <v>0.13425599999999999</v>
      </c>
      <c r="O25" s="6">
        <v>0.22998299999999999</v>
      </c>
      <c r="P25" s="6">
        <v>0.30451099999999998</v>
      </c>
      <c r="Q25" s="6">
        <v>9.5434000000000005E-2</v>
      </c>
      <c r="R25" s="6">
        <v>0.235816</v>
      </c>
    </row>
    <row r="26" spans="1:18">
      <c r="A26" s="2">
        <f t="shared" si="0"/>
        <v>25</v>
      </c>
      <c r="B26" s="3">
        <v>9.2527999999999999E-2</v>
      </c>
      <c r="C26" s="3">
        <v>0.29221900000000001</v>
      </c>
      <c r="D26" s="3">
        <v>0.61525300000000005</v>
      </c>
      <c r="E26" s="4">
        <v>0.15759600000000001</v>
      </c>
      <c r="F26" s="4">
        <v>0.76078900000000005</v>
      </c>
      <c r="G26" s="4">
        <v>8.1614999999999993E-2</v>
      </c>
      <c r="H26" s="5">
        <v>0.65480700000000003</v>
      </c>
      <c r="I26" s="5">
        <v>9.5337000000000005E-2</v>
      </c>
      <c r="J26" s="5">
        <v>0.24985599999999999</v>
      </c>
      <c r="K26" s="5">
        <v>0.74705200000000005</v>
      </c>
      <c r="L26" s="5">
        <v>0.119389</v>
      </c>
      <c r="M26" s="5">
        <v>0.13355900000000001</v>
      </c>
      <c r="N26" s="6">
        <v>0.27710899999999999</v>
      </c>
      <c r="O26" s="6">
        <v>0.25826300000000002</v>
      </c>
      <c r="P26" s="6">
        <v>0.154451</v>
      </c>
      <c r="Q26" s="7">
        <v>0.25795000000000001</v>
      </c>
      <c r="R26" s="6">
        <v>5.2227000000000003E-2</v>
      </c>
    </row>
    <row r="27" spans="1:18">
      <c r="A27" s="2">
        <f t="shared" si="0"/>
        <v>26</v>
      </c>
      <c r="B27" s="3">
        <v>0.14407600000000001</v>
      </c>
      <c r="C27" s="3">
        <v>9.5547000000000007E-2</v>
      </c>
      <c r="D27" s="3">
        <v>0.76037699999999997</v>
      </c>
      <c r="E27" s="4">
        <v>0.79859599999999997</v>
      </c>
      <c r="F27" s="4">
        <v>0.104918</v>
      </c>
      <c r="G27" s="4">
        <v>9.6486000000000002E-2</v>
      </c>
      <c r="H27" s="5">
        <v>0.114915</v>
      </c>
      <c r="I27" s="5">
        <v>0.120973</v>
      </c>
      <c r="J27" s="5">
        <v>0.76411200000000001</v>
      </c>
      <c r="K27" s="5">
        <v>7.1804999999999994E-2</v>
      </c>
      <c r="L27" s="5">
        <v>0.81421200000000005</v>
      </c>
      <c r="M27" s="5">
        <v>0.113983</v>
      </c>
      <c r="N27" s="6">
        <v>0.32294499999999998</v>
      </c>
      <c r="O27" s="6">
        <v>0.37092199999999997</v>
      </c>
      <c r="P27" s="6">
        <v>0.12850200000000001</v>
      </c>
      <c r="Q27" s="7">
        <v>9.178E-2</v>
      </c>
      <c r="R27" s="7">
        <v>8.5849999999999996E-2</v>
      </c>
    </row>
    <row r="28" spans="1:18">
      <c r="A28" s="2">
        <f t="shared" si="0"/>
        <v>27</v>
      </c>
      <c r="B28" s="3">
        <v>0.117475</v>
      </c>
      <c r="C28" s="3">
        <v>0.77579100000000001</v>
      </c>
      <c r="D28" s="3">
        <v>0.106734</v>
      </c>
      <c r="E28" s="4">
        <v>0.268368</v>
      </c>
      <c r="F28" s="4">
        <v>0.11722100000000001</v>
      </c>
      <c r="G28" s="4">
        <v>0.61441100000000004</v>
      </c>
      <c r="H28" s="5">
        <v>0.16552900000000001</v>
      </c>
      <c r="I28" s="5">
        <v>0.224657</v>
      </c>
      <c r="J28" s="5">
        <v>0.60981399999999997</v>
      </c>
      <c r="K28" s="5">
        <v>6.2616000000000005E-2</v>
      </c>
      <c r="L28" s="5">
        <v>0.45826299999999998</v>
      </c>
      <c r="M28" s="5">
        <v>0.47912100000000002</v>
      </c>
      <c r="N28" s="6">
        <v>4.8909000000000001E-2</v>
      </c>
      <c r="O28" s="6">
        <v>0.31290699999999999</v>
      </c>
      <c r="P28" s="6">
        <v>0.36369800000000002</v>
      </c>
      <c r="Q28" s="6">
        <v>0.22539600000000001</v>
      </c>
      <c r="R28" s="7">
        <v>4.9090000000000002E-2</v>
      </c>
    </row>
    <row r="29" spans="1:18">
      <c r="A29" s="2">
        <f t="shared" si="0"/>
        <v>28</v>
      </c>
      <c r="B29" s="3">
        <v>0.21092</v>
      </c>
      <c r="C29" s="3">
        <v>0.70493600000000001</v>
      </c>
      <c r="D29" s="3">
        <v>8.4143999999999997E-2</v>
      </c>
      <c r="E29" s="4">
        <v>0.64832900000000004</v>
      </c>
      <c r="F29" s="4">
        <v>0.12202</v>
      </c>
      <c r="G29" s="4">
        <v>0.22965099999999999</v>
      </c>
      <c r="H29" s="5">
        <v>0.54980899999999999</v>
      </c>
      <c r="I29" s="5">
        <v>8.2130999999999996E-2</v>
      </c>
      <c r="J29" s="8">
        <v>0.36806</v>
      </c>
      <c r="K29" s="5">
        <v>0.68698199999999998</v>
      </c>
      <c r="L29" s="5">
        <v>0.12654299999999999</v>
      </c>
      <c r="M29" s="5">
        <v>0.186475</v>
      </c>
      <c r="N29" s="6">
        <v>0.31907400000000002</v>
      </c>
      <c r="O29" s="6">
        <v>0.27813100000000002</v>
      </c>
      <c r="P29" s="6">
        <v>0.193555</v>
      </c>
      <c r="Q29" s="6">
        <v>0.13808100000000001</v>
      </c>
      <c r="R29" s="6">
        <v>7.1159E-2</v>
      </c>
    </row>
    <row r="30" spans="1:18">
      <c r="A30" s="2">
        <f t="shared" si="0"/>
        <v>29</v>
      </c>
      <c r="B30" s="3">
        <v>0.55888400000000005</v>
      </c>
      <c r="C30" s="3">
        <v>0.38283899999999998</v>
      </c>
      <c r="D30" s="3">
        <v>5.8277000000000002E-2</v>
      </c>
      <c r="E30" s="4">
        <v>0.55842499999999995</v>
      </c>
      <c r="F30" s="4">
        <v>0.121957</v>
      </c>
      <c r="G30" s="4">
        <v>0.31961800000000001</v>
      </c>
      <c r="H30" s="5">
        <v>0.45227499999999998</v>
      </c>
      <c r="I30" s="5">
        <v>7.1604000000000001E-2</v>
      </c>
      <c r="J30" s="5">
        <v>0.47612100000000002</v>
      </c>
      <c r="K30" s="5">
        <v>0.14676</v>
      </c>
      <c r="L30" s="5">
        <v>0.76924099999999995</v>
      </c>
      <c r="M30" s="5">
        <v>8.3999000000000004E-2</v>
      </c>
      <c r="N30" s="7">
        <v>0.39186900000000002</v>
      </c>
      <c r="O30" s="6">
        <v>0.168905</v>
      </c>
      <c r="P30" s="6">
        <v>0.14103399999999999</v>
      </c>
      <c r="Q30" s="6">
        <v>0.11540499999999999</v>
      </c>
      <c r="R30" s="6">
        <v>0.18278700000000001</v>
      </c>
    </row>
    <row r="31" spans="1:18">
      <c r="A31" s="2">
        <f t="shared" si="0"/>
        <v>30</v>
      </c>
      <c r="B31" s="3">
        <v>0.22965099999999999</v>
      </c>
      <c r="C31" s="3">
        <v>0.12202</v>
      </c>
      <c r="D31" s="3">
        <v>0.64832900000000004</v>
      </c>
      <c r="E31" s="4">
        <v>0.70963200000000004</v>
      </c>
      <c r="F31" s="4">
        <v>0.13538800000000001</v>
      </c>
      <c r="G31" s="4">
        <v>0.15498000000000001</v>
      </c>
      <c r="H31" s="5">
        <v>0.76078900000000005</v>
      </c>
      <c r="I31" s="5">
        <v>0.15759600000000001</v>
      </c>
      <c r="J31" s="5">
        <v>8.1614999999999993E-2</v>
      </c>
      <c r="K31" s="5">
        <v>0.10312200000000001</v>
      </c>
      <c r="L31" s="5">
        <v>0.78906200000000004</v>
      </c>
      <c r="M31" s="5">
        <v>0.107816</v>
      </c>
      <c r="N31" s="6">
        <v>0.40303099999999997</v>
      </c>
      <c r="O31" s="6">
        <v>0.211253</v>
      </c>
      <c r="P31" s="6">
        <v>0.118899</v>
      </c>
      <c r="Q31" s="6">
        <v>6.9429000000000005E-2</v>
      </c>
      <c r="R31" s="6">
        <v>0.19738800000000001</v>
      </c>
    </row>
    <row r="32" spans="1:18">
      <c r="A32" s="2">
        <f t="shared" si="0"/>
        <v>31</v>
      </c>
      <c r="B32" s="3">
        <v>0.56954099999999996</v>
      </c>
      <c r="C32" s="3">
        <v>0.333069</v>
      </c>
      <c r="D32" s="3">
        <v>9.7390000000000004E-2</v>
      </c>
      <c r="E32" s="4">
        <v>0.29696099999999997</v>
      </c>
      <c r="F32" s="4">
        <v>0.53961499999999996</v>
      </c>
      <c r="G32" s="4">
        <v>0.16342400000000001</v>
      </c>
      <c r="H32" s="5">
        <v>0.15124699999999999</v>
      </c>
      <c r="I32" s="5">
        <v>0.75824599999999998</v>
      </c>
      <c r="J32" s="5">
        <v>9.0507000000000004E-2</v>
      </c>
      <c r="K32" s="5">
        <v>0.61441100000000004</v>
      </c>
      <c r="L32" s="5">
        <v>0.11722100000000001</v>
      </c>
      <c r="M32" s="5">
        <v>0.268368</v>
      </c>
      <c r="N32" s="6">
        <v>8.5508000000000001E-2</v>
      </c>
      <c r="O32" s="6">
        <v>0.35830400000000001</v>
      </c>
      <c r="P32" s="6">
        <v>0.12312099999999999</v>
      </c>
      <c r="Q32" s="6">
        <v>0.35159899999999999</v>
      </c>
      <c r="R32" s="6">
        <v>8.1467999999999999E-2</v>
      </c>
    </row>
    <row r="33" spans="1:18">
      <c r="A33" s="2">
        <f t="shared" si="0"/>
        <v>32</v>
      </c>
      <c r="B33" s="3">
        <v>0.34836299999999998</v>
      </c>
      <c r="C33" s="3">
        <v>0.58214900000000003</v>
      </c>
      <c r="D33" s="3">
        <v>6.9487999999999994E-2</v>
      </c>
      <c r="E33" s="4">
        <v>7.0129999999999998E-2</v>
      </c>
      <c r="F33" s="4">
        <v>0.60435799999999995</v>
      </c>
      <c r="G33" s="4">
        <v>0.32551200000000002</v>
      </c>
      <c r="H33" s="5">
        <v>0.61441100000000004</v>
      </c>
      <c r="I33" s="5">
        <v>0.11722100000000001</v>
      </c>
      <c r="J33" s="5">
        <v>0.268368</v>
      </c>
      <c r="K33" s="5">
        <v>8.4143999999999997E-2</v>
      </c>
      <c r="L33" s="5">
        <v>0.21092</v>
      </c>
      <c r="M33" s="5">
        <v>0.70493600000000001</v>
      </c>
      <c r="N33" s="7">
        <v>0.16061</v>
      </c>
      <c r="O33" s="6">
        <v>0.274756</v>
      </c>
      <c r="P33" s="6">
        <v>0.18832299999999999</v>
      </c>
      <c r="Q33" s="6">
        <v>0.31280200000000002</v>
      </c>
      <c r="R33" s="6">
        <v>6.3508999999999996E-2</v>
      </c>
    </row>
    <row r="34" spans="1:18">
      <c r="A34" s="2">
        <f t="shared" si="0"/>
        <v>33</v>
      </c>
      <c r="B34" s="3">
        <v>0.81421299999999996</v>
      </c>
      <c r="C34" s="3">
        <v>7.1804999999999994E-2</v>
      </c>
      <c r="D34" s="3">
        <v>0.113982</v>
      </c>
      <c r="E34" s="4">
        <v>0.28507700000000002</v>
      </c>
      <c r="F34" s="4">
        <v>6.2259000000000002E-2</v>
      </c>
      <c r="G34" s="4">
        <v>0.65266400000000002</v>
      </c>
      <c r="H34" s="5">
        <v>0.12114900000000001</v>
      </c>
      <c r="I34" s="5">
        <v>8.2988000000000006E-2</v>
      </c>
      <c r="J34" s="5">
        <v>0.79586299999999999</v>
      </c>
      <c r="K34" s="5">
        <v>9.3514E-2</v>
      </c>
      <c r="L34" s="5">
        <v>0.80922700000000003</v>
      </c>
      <c r="M34" s="5">
        <v>9.7258999999999998E-2</v>
      </c>
      <c r="N34" s="6">
        <v>0.44594499999999998</v>
      </c>
      <c r="O34" s="6">
        <v>0.14979600000000001</v>
      </c>
      <c r="P34" s="6">
        <v>9.8350999999999994E-2</v>
      </c>
      <c r="Q34" s="6">
        <v>0.15967700000000001</v>
      </c>
      <c r="R34" s="6">
        <v>0.14623</v>
      </c>
    </row>
    <row r="35" spans="1:18">
      <c r="A35" s="2">
        <f t="shared" si="0"/>
        <v>34</v>
      </c>
      <c r="B35" s="3">
        <v>0.10251300000000001</v>
      </c>
      <c r="C35" s="3">
        <v>0.215837</v>
      </c>
      <c r="D35" s="3">
        <v>0.68164999999999998</v>
      </c>
      <c r="E35" s="4">
        <v>0.13180700000000001</v>
      </c>
      <c r="F35" s="4">
        <v>0.75104199999999999</v>
      </c>
      <c r="G35" s="4">
        <v>8.7153999999999995E-2</v>
      </c>
      <c r="H35" s="5">
        <v>0.64911799999999997</v>
      </c>
      <c r="I35" s="5">
        <v>0.27895500000000001</v>
      </c>
      <c r="J35" s="5">
        <v>7.1927000000000005E-2</v>
      </c>
      <c r="K35" s="5">
        <v>7.5201000000000004E-2</v>
      </c>
      <c r="L35" s="5">
        <v>0.74184399999999995</v>
      </c>
      <c r="M35" s="5">
        <v>0.18295500000000001</v>
      </c>
      <c r="N35" s="6">
        <v>8.2924999999999999E-2</v>
      </c>
      <c r="O35" s="6">
        <v>0.35422399999999998</v>
      </c>
      <c r="P35" s="6">
        <v>0.25600299999999998</v>
      </c>
      <c r="Q35" s="7">
        <v>0.22825000000000001</v>
      </c>
      <c r="R35" s="6">
        <v>7.8598000000000001E-2</v>
      </c>
    </row>
    <row r="36" spans="1:18">
      <c r="A36" s="2">
        <f t="shared" si="0"/>
        <v>35</v>
      </c>
      <c r="B36" s="3">
        <v>9.7737000000000004E-2</v>
      </c>
      <c r="C36" s="3">
        <v>0.18696399999999999</v>
      </c>
      <c r="D36" s="3">
        <v>0.71529900000000002</v>
      </c>
      <c r="E36" s="4">
        <v>0.18295400000000001</v>
      </c>
      <c r="F36" s="4">
        <v>0.74184499999999998</v>
      </c>
      <c r="G36" s="4">
        <v>7.5201000000000004E-2</v>
      </c>
      <c r="H36" s="5">
        <v>0.61525300000000005</v>
      </c>
      <c r="I36" s="5">
        <v>9.2527999999999999E-2</v>
      </c>
      <c r="J36" s="5">
        <v>0.29221900000000001</v>
      </c>
      <c r="K36" s="5">
        <v>0.18838299999999999</v>
      </c>
      <c r="L36" s="5">
        <v>0.73064499999999999</v>
      </c>
      <c r="M36" s="5">
        <v>8.0972000000000002E-2</v>
      </c>
      <c r="N36" s="6">
        <v>0.117351</v>
      </c>
      <c r="O36" s="6">
        <v>0.27245000000000003</v>
      </c>
      <c r="P36" s="6">
        <v>0.15495</v>
      </c>
      <c r="Q36" s="6">
        <v>0.39502799999999999</v>
      </c>
      <c r="R36" s="6">
        <v>6.0220999999999997E-2</v>
      </c>
    </row>
    <row r="37" spans="1:18" ht="31.5">
      <c r="A37" s="15" t="s">
        <v>18</v>
      </c>
      <c r="B37" s="3">
        <f t="shared" ref="B37:M37" si="1">AVERAGE(B2:B36)</f>
        <v>0.33564214285714283</v>
      </c>
      <c r="C37" s="3">
        <f t="shared" si="1"/>
        <v>0.36892982857142848</v>
      </c>
      <c r="D37" s="3">
        <f t="shared" si="1"/>
        <v>0.31389222857142851</v>
      </c>
      <c r="E37" s="16">
        <f t="shared" si="1"/>
        <v>0.40083311428571439</v>
      </c>
      <c r="F37" s="16">
        <f t="shared" si="1"/>
        <v>0.29139485714285707</v>
      </c>
      <c r="G37" s="16">
        <f t="shared" si="1"/>
        <v>0.30691502857142866</v>
      </c>
      <c r="H37" s="5">
        <f t="shared" si="1"/>
        <v>0.34637337142857144</v>
      </c>
      <c r="I37" s="5">
        <f t="shared" si="1"/>
        <v>0.24902777142857144</v>
      </c>
      <c r="J37" s="5">
        <f t="shared" si="1"/>
        <v>0.40459888571428576</v>
      </c>
      <c r="K37" s="5">
        <f t="shared" si="1"/>
        <v>0.24189559999999999</v>
      </c>
      <c r="L37" s="5">
        <f t="shared" si="1"/>
        <v>0.43529939999999995</v>
      </c>
      <c r="M37" s="8">
        <f t="shared" si="1"/>
        <v>0.32280457142857133</v>
      </c>
      <c r="N37" s="7">
        <f>AVERAGE(N2:N36)</f>
        <v>0.26117017142857141</v>
      </c>
      <c r="O37" s="6">
        <f t="shared" ref="O37:R37" si="2">AVERAGE(O2:O36)</f>
        <v>0.22649920000000004</v>
      </c>
      <c r="P37" s="6">
        <f t="shared" si="2"/>
        <v>0.16622302857142857</v>
      </c>
      <c r="Q37" s="6">
        <f t="shared" si="2"/>
        <v>0.15674614285714289</v>
      </c>
      <c r="R37" s="6">
        <f t="shared" si="2"/>
        <v>0.18936145714285718</v>
      </c>
    </row>
    <row r="38" spans="1:18" ht="31.5">
      <c r="A38" s="17" t="s">
        <v>19</v>
      </c>
      <c r="B38" s="18">
        <f t="shared" ref="B38:M38" si="3">GEOMEAN(B2:B36)</f>
        <v>0.25497361385525663</v>
      </c>
      <c r="C38" s="18">
        <f t="shared" si="3"/>
        <v>0.28912877860901964</v>
      </c>
      <c r="D38" s="18">
        <f t="shared" si="3"/>
        <v>0.20440906389384467</v>
      </c>
      <c r="E38" s="19">
        <f t="shared" si="3"/>
        <v>0.32042190457300074</v>
      </c>
      <c r="F38" s="19">
        <f t="shared" si="3"/>
        <v>0.19652484449574448</v>
      </c>
      <c r="G38" s="19">
        <f t="shared" si="3"/>
        <v>0.21664710008370019</v>
      </c>
      <c r="H38" s="20">
        <f t="shared" si="3"/>
        <v>0.25865842409647022</v>
      </c>
      <c r="I38" s="20">
        <f t="shared" si="3"/>
        <v>0.18856070916050513</v>
      </c>
      <c r="J38" s="20">
        <f t="shared" si="3"/>
        <v>0.33476807105076545</v>
      </c>
      <c r="K38" s="20">
        <f t="shared" si="3"/>
        <v>0.17548551790274605</v>
      </c>
      <c r="L38" s="20">
        <f t="shared" si="3"/>
        <v>0.32134420919043422</v>
      </c>
      <c r="M38" s="21">
        <f t="shared" si="3"/>
        <v>0.23522391994905656</v>
      </c>
      <c r="N38" s="22">
        <f>GEOMEAN(N2:N36)</f>
        <v>0.23264200672350369</v>
      </c>
      <c r="O38" s="22">
        <f t="shared" ref="O38:R38" si="4">GEOMEAN(O2:O36)</f>
        <v>0.20679499437953985</v>
      </c>
      <c r="P38" s="22">
        <f t="shared" si="4"/>
        <v>0.14244263139883695</v>
      </c>
      <c r="Q38" s="22">
        <f>GEOMEAN(Q2:Q36)</f>
        <v>0.12862385071055402</v>
      </c>
      <c r="R38" s="22">
        <f t="shared" si="4"/>
        <v>0.15887711297947746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權重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溫國抆</cp:lastModifiedBy>
  <dcterms:created xsi:type="dcterms:W3CDTF">2021-12-28T07:50:34Z</dcterms:created>
  <dcterms:modified xsi:type="dcterms:W3CDTF">2026-04-27T12:19:56Z</dcterms:modified>
</cp:coreProperties>
</file>