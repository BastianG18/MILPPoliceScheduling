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ames陳正恩\Data Prepared for Submission\"/>
    </mc:Choice>
  </mc:AlternateContent>
  <xr:revisionPtr revIDLastSave="0" documentId="13_ncr:1_{4DF51F7D-56D7-4D76-B57B-526C7B312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chart.v1.0" hidden="1">Sheet1!$L$2:$L$36</definedName>
    <definedName name="_xlchart.v1.1" hidden="1">Sheet1!$L$2:$L$36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7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2" i="1"/>
  <c r="B41" i="1"/>
  <c r="C41" i="1"/>
  <c r="D41" i="1"/>
  <c r="E41" i="1"/>
  <c r="F41" i="1"/>
  <c r="B40" i="1"/>
  <c r="C40" i="1"/>
  <c r="D40" i="1"/>
  <c r="E40" i="1"/>
  <c r="F40" i="1"/>
  <c r="B39" i="1"/>
  <c r="C39" i="1"/>
  <c r="D39" i="1"/>
  <c r="E39" i="1"/>
  <c r="F39" i="1"/>
  <c r="B38" i="1"/>
  <c r="C38" i="1"/>
  <c r="D38" i="1"/>
  <c r="E38" i="1"/>
  <c r="F38" i="1"/>
  <c r="B37" i="1"/>
  <c r="C37" i="1"/>
  <c r="D37" i="1"/>
  <c r="E37" i="1"/>
  <c r="F37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2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37" i="1"/>
  <c r="G38" i="1"/>
  <c r="H38" i="1"/>
  <c r="I38" i="1"/>
  <c r="J38" i="1"/>
  <c r="K38" i="1"/>
  <c r="H37" i="1"/>
  <c r="I37" i="1"/>
  <c r="J37" i="1"/>
  <c r="K37" i="1"/>
  <c r="L37" i="1" l="1"/>
  <c r="L41" i="1"/>
  <c r="L38" i="1"/>
  <c r="L40" i="1"/>
  <c r="L39" i="1"/>
</calcChain>
</file>

<file path=xl/sharedStrings.xml><?xml version="1.0" encoding="utf-8"?>
<sst xmlns="http://schemas.openxmlformats.org/spreadsheetml/2006/main" count="18" uniqueCount="18">
  <si>
    <t>MAX</t>
    <phoneticPr fontId="1" type="noConversion"/>
  </si>
  <si>
    <t>MIN</t>
    <phoneticPr fontId="1" type="noConversion"/>
  </si>
  <si>
    <t>Police Office</t>
  </si>
  <si>
    <t>Mean</t>
  </si>
  <si>
    <t>Standard Deviation</t>
  </si>
  <si>
    <t>Variation</t>
  </si>
  <si>
    <t>Number of Spot Checks Shift</t>
  </si>
  <si>
    <t>Number of On Duty Shift</t>
  </si>
  <si>
    <t>Number of Patrol Shift</t>
  </si>
  <si>
    <t>Number of Standby Shift</t>
  </si>
  <si>
    <t>Number of Traffic Control Shift</t>
  </si>
  <si>
    <t>Spot Checks Workload</t>
  </si>
  <si>
    <t>On Duty Workload</t>
  </si>
  <si>
    <t>Patrol Workload</t>
  </si>
  <si>
    <t>Standby Workload</t>
  </si>
  <si>
    <t>Traffic Control Workload</t>
  </si>
  <si>
    <t>Total Workload</t>
  </si>
  <si>
    <t>Workload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</si>
</sst>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rgb="FFFF0000"/>
      <name val="Calibri"/>
      <family val="1"/>
      <charset val="136"/>
      <scheme val="minor"/>
    </font>
    <font>
      <b/>
      <sz val="11"/>
      <color rgb="FF0000CC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b/>
      <sz val="11"/>
      <color rgb="FF00B0F0"/>
      <name val="Calibri"/>
      <family val="1"/>
      <charset val="136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 wrapText="1"/>
    </xf>
    <xf numFmtId="164" fontId="7" fillId="0" borderId="1" xfId="0" applyNumberFormat="1" applyFont="1" applyFill="1" applyBorder="1" applyAlignment="1">
      <alignment horizontal="center" vertical="top" wrapText="1"/>
    </xf>
    <xf numFmtId="0" fontId="7" fillId="0" borderId="1" xfId="0" applyFont="1" applyFill="1" applyBorder="1"/>
    <xf numFmtId="0" fontId="8" fillId="0" borderId="1" xfId="0" applyFont="1" applyFill="1" applyBorder="1"/>
    <xf numFmtId="164" fontId="8" fillId="0" borderId="1" xfId="0" applyNumberFormat="1" applyFont="1" applyFill="1" applyBorder="1"/>
    <xf numFmtId="0" fontId="6" fillId="0" borderId="1" xfId="0" applyFon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6" fillId="0" borderId="1" xfId="0" applyFont="1" applyFill="1" applyBorder="1" applyAlignment="1">
      <alignment horizontal="right"/>
    </xf>
    <xf numFmtId="1" fontId="6" fillId="0" borderId="1" xfId="0" applyNumberFormat="1" applyFont="1" applyFill="1" applyBorder="1"/>
    <xf numFmtId="164" fontId="6" fillId="0" borderId="1" xfId="0" applyNumberFormat="1" applyFont="1" applyFill="1" applyBorder="1"/>
    <xf numFmtId="164" fontId="6" fillId="0" borderId="1" xfId="0" applyNumberFormat="1" applyFont="1" applyFill="1" applyBorder="1" applyAlignment="1">
      <alignment horizontal="right"/>
    </xf>
    <xf numFmtId="0" fontId="4" fillId="0" borderId="1" xfId="0" applyFont="1" applyFill="1" applyBorder="1"/>
    <xf numFmtId="0" fontId="0" fillId="0" borderId="0" xfId="0" applyFill="1"/>
    <xf numFmtId="164" fontId="0" fillId="0" borderId="0" xfId="0" applyNumberFormat="1" applyFill="1"/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臨檢次數與總負荷量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Spot Checks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Sheet1!$B$2:$B$36</c:f>
              <c:numCache>
                <c:formatCode>General</c:formatCode>
                <c:ptCount val="35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9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9</c:v>
                </c:pt>
                <c:pt idx="19">
                  <c:v>9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9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5-4AE1-B4D4-9D3B60CC1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952159"/>
        <c:axId val="2074954559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5-4AE1-B4D4-9D3B60CC1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955039"/>
        <c:axId val="2074953599"/>
      </c:lineChart>
      <c:catAx>
        <c:axId val="2074952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54559"/>
        <c:crosses val="autoZero"/>
        <c:auto val="1"/>
        <c:lblAlgn val="ctr"/>
        <c:lblOffset val="100"/>
        <c:noMultiLvlLbl val="0"/>
      </c:catAx>
      <c:valAx>
        <c:axId val="20749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52159"/>
        <c:crosses val="autoZero"/>
        <c:crossBetween val="between"/>
      </c:valAx>
      <c:valAx>
        <c:axId val="20749535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55039"/>
        <c:crosses val="max"/>
        <c:crossBetween val="between"/>
      </c:valAx>
      <c:catAx>
        <c:axId val="207495503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4953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值班次數與總負荷量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 of On Duty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Sheet1!$C$2:$C$36</c:f>
              <c:numCache>
                <c:formatCode>General</c:formatCode>
                <c:ptCount val="35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3-4679-9588-BAA9A02B1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909919"/>
        <c:axId val="2074907999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3-4679-9588-BAA9A02B1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909439"/>
        <c:axId val="2074908959"/>
      </c:lineChart>
      <c:catAx>
        <c:axId val="2074909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07999"/>
        <c:crosses val="autoZero"/>
        <c:auto val="1"/>
        <c:lblAlgn val="ctr"/>
        <c:lblOffset val="100"/>
        <c:noMultiLvlLbl val="0"/>
      </c:catAx>
      <c:valAx>
        <c:axId val="20749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09919"/>
        <c:crosses val="autoZero"/>
        <c:crossBetween val="between"/>
      </c:valAx>
      <c:valAx>
        <c:axId val="20749089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09439"/>
        <c:crosses val="max"/>
        <c:crossBetween val="between"/>
      </c:valAx>
      <c:catAx>
        <c:axId val="207490943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4908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巡邏次數與總負荷量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Number of Patrol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Sheet1!$D$2:$D$36</c:f>
              <c:numCache>
                <c:formatCode>General</c:formatCode>
                <c:ptCount val="35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8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9</c:v>
                </c:pt>
                <c:pt idx="27">
                  <c:v>5</c:v>
                </c:pt>
                <c:pt idx="28">
                  <c:v>7</c:v>
                </c:pt>
                <c:pt idx="29">
                  <c:v>7</c:v>
                </c:pt>
                <c:pt idx="30">
                  <c:v>9</c:v>
                </c:pt>
                <c:pt idx="31">
                  <c:v>7</c:v>
                </c:pt>
                <c:pt idx="32">
                  <c:v>8</c:v>
                </c:pt>
                <c:pt idx="33">
                  <c:v>7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8-48BB-87E8-B9D90E320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922399"/>
        <c:axId val="2074924319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8-48BB-87E8-B9D90E320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910879"/>
        <c:axId val="2074925279"/>
      </c:lineChart>
      <c:catAx>
        <c:axId val="207492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24319"/>
        <c:crosses val="autoZero"/>
        <c:auto val="1"/>
        <c:lblAlgn val="ctr"/>
        <c:lblOffset val="100"/>
        <c:noMultiLvlLbl val="0"/>
      </c:catAx>
      <c:valAx>
        <c:axId val="207492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22399"/>
        <c:crosses val="autoZero"/>
        <c:crossBetween val="between"/>
      </c:valAx>
      <c:valAx>
        <c:axId val="20749252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10879"/>
        <c:crosses val="max"/>
        <c:crossBetween val="between"/>
      </c:valAx>
      <c:catAx>
        <c:axId val="207491087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4925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備勤次數與總負荷量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Number of Standby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Sheet1!$E$2:$E$36</c:f>
              <c:numCache>
                <c:formatCode>General</c:formatCode>
                <c:ptCount val="35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1</c:v>
                </c:pt>
                <c:pt idx="19">
                  <c:v>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5</c:v>
                </c:pt>
                <c:pt idx="25">
                  <c:v>7</c:v>
                </c:pt>
                <c:pt idx="26">
                  <c:v>6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3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D-4D9D-A072-0295EFA2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924799"/>
        <c:axId val="2074926719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D-4D9D-A072-0295EFA2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928639"/>
        <c:axId val="2074911839"/>
      </c:lineChart>
      <c:catAx>
        <c:axId val="2074924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26719"/>
        <c:crosses val="autoZero"/>
        <c:auto val="1"/>
        <c:lblAlgn val="ctr"/>
        <c:lblOffset val="100"/>
        <c:noMultiLvlLbl val="0"/>
      </c:catAx>
      <c:valAx>
        <c:axId val="20749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24799"/>
        <c:crosses val="autoZero"/>
        <c:crossBetween val="between"/>
      </c:valAx>
      <c:valAx>
        <c:axId val="20749118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28639"/>
        <c:crosses val="max"/>
        <c:crossBetween val="between"/>
      </c:valAx>
      <c:catAx>
        <c:axId val="207492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4911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交通整查次數與總負荷量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Number of Traffic Control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Sheet1!$F$2:$F$36</c:f>
              <c:numCache>
                <c:formatCode>General</c:formatCode>
                <c:ptCount val="3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8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5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C-4324-A39C-7D3380FB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947839"/>
        <c:axId val="2074948319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C-4324-A39C-7D3380FB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942559"/>
        <c:axId val="2074958879"/>
      </c:lineChart>
      <c:catAx>
        <c:axId val="2074947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48319"/>
        <c:crosses val="autoZero"/>
        <c:auto val="1"/>
        <c:lblAlgn val="ctr"/>
        <c:lblOffset val="100"/>
        <c:noMultiLvlLbl val="0"/>
      </c:catAx>
      <c:valAx>
        <c:axId val="20749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47839"/>
        <c:crosses val="autoZero"/>
        <c:crossBetween val="between"/>
      </c:valAx>
      <c:valAx>
        <c:axId val="20749588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42559"/>
        <c:crosses val="max"/>
        <c:crossBetween val="between"/>
      </c:valAx>
      <c:catAx>
        <c:axId val="207494255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495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臨檢次數與臨檢負荷量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Spot Checks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Sheet1!$B$2:$B$36</c:f>
              <c:numCache>
                <c:formatCode>General</c:formatCode>
                <c:ptCount val="35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9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9</c:v>
                </c:pt>
                <c:pt idx="19">
                  <c:v>9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9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2-4A61-AF07-23794C24B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08319"/>
        <c:axId val="2075007839"/>
      </c:barChart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Spot Checks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Sheet1!$G$2:$G$36</c:f>
              <c:numCache>
                <c:formatCode>0.0000</c:formatCode>
                <c:ptCount val="35"/>
                <c:pt idx="0">
                  <c:v>324.4896</c:v>
                </c:pt>
                <c:pt idx="1">
                  <c:v>329.64800000000002</c:v>
                </c:pt>
                <c:pt idx="2">
                  <c:v>147.99850000000001</c:v>
                </c:pt>
                <c:pt idx="3">
                  <c:v>284.33249999999998</c:v>
                </c:pt>
                <c:pt idx="4">
                  <c:v>283.15620000000001</c:v>
                </c:pt>
                <c:pt idx="5">
                  <c:v>181.84530000000001</c:v>
                </c:pt>
                <c:pt idx="6">
                  <c:v>175.2176</c:v>
                </c:pt>
                <c:pt idx="7">
                  <c:v>224.93520000000001</c:v>
                </c:pt>
                <c:pt idx="8">
                  <c:v>101.256</c:v>
                </c:pt>
                <c:pt idx="9">
                  <c:v>192.01589999999999</c:v>
                </c:pt>
                <c:pt idx="10">
                  <c:v>231.72450000000001</c:v>
                </c:pt>
                <c:pt idx="11">
                  <c:v>217.43960000000001</c:v>
                </c:pt>
                <c:pt idx="12">
                  <c:v>158.61959999999999</c:v>
                </c:pt>
                <c:pt idx="13">
                  <c:v>88.766999999999996</c:v>
                </c:pt>
                <c:pt idx="14">
                  <c:v>227.4391</c:v>
                </c:pt>
                <c:pt idx="15">
                  <c:v>269.84719999999999</c:v>
                </c:pt>
                <c:pt idx="16">
                  <c:v>397.49759999999998</c:v>
                </c:pt>
                <c:pt idx="17">
                  <c:v>158.5385</c:v>
                </c:pt>
                <c:pt idx="18">
                  <c:v>180.7407</c:v>
                </c:pt>
                <c:pt idx="19">
                  <c:v>170.50319999999999</c:v>
                </c:pt>
                <c:pt idx="20">
                  <c:v>87.833500000000001</c:v>
                </c:pt>
                <c:pt idx="21">
                  <c:v>137.77350000000001</c:v>
                </c:pt>
                <c:pt idx="22">
                  <c:v>96.085599999999999</c:v>
                </c:pt>
                <c:pt idx="23">
                  <c:v>120.8304</c:v>
                </c:pt>
                <c:pt idx="24">
                  <c:v>221.68719999999999</c:v>
                </c:pt>
                <c:pt idx="25">
                  <c:v>193.767</c:v>
                </c:pt>
                <c:pt idx="26">
                  <c:v>39.127200000000002</c:v>
                </c:pt>
                <c:pt idx="27">
                  <c:v>191.4444</c:v>
                </c:pt>
                <c:pt idx="28">
                  <c:v>352.68209999999999</c:v>
                </c:pt>
                <c:pt idx="29">
                  <c:v>282.12169999999998</c:v>
                </c:pt>
                <c:pt idx="30">
                  <c:v>59.855600000000003</c:v>
                </c:pt>
                <c:pt idx="31">
                  <c:v>144.54900000000001</c:v>
                </c:pt>
                <c:pt idx="32">
                  <c:v>312.16149999999999</c:v>
                </c:pt>
                <c:pt idx="33">
                  <c:v>66.34</c:v>
                </c:pt>
                <c:pt idx="34">
                  <c:v>105.6159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2-4A61-AF07-23794C24B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015999"/>
        <c:axId val="2075003519"/>
      </c:lineChart>
      <c:catAx>
        <c:axId val="2075008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7839"/>
        <c:crosses val="autoZero"/>
        <c:auto val="1"/>
        <c:lblAlgn val="ctr"/>
        <c:lblOffset val="100"/>
        <c:noMultiLvlLbl val="0"/>
      </c:catAx>
      <c:valAx>
        <c:axId val="207500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8319"/>
        <c:crosses val="autoZero"/>
        <c:crossBetween val="between"/>
      </c:valAx>
      <c:valAx>
        <c:axId val="20750035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5999"/>
        <c:crosses val="max"/>
        <c:crossBetween val="between"/>
      </c:valAx>
      <c:catAx>
        <c:axId val="2075015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5003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值班次數與值班負荷量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 of On Duty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Sheet1!$C$2:$C$36</c:f>
              <c:numCache>
                <c:formatCode>General</c:formatCode>
                <c:ptCount val="35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A-4C04-A4C9-4640C9B1F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05919"/>
        <c:axId val="2075017439"/>
      </c:barChart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On Duty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Sheet1!$H$2:$H$36</c:f>
              <c:numCache>
                <c:formatCode>0.0000</c:formatCode>
                <c:ptCount val="35"/>
                <c:pt idx="0">
                  <c:v>34.4313</c:v>
                </c:pt>
                <c:pt idx="1">
                  <c:v>41.886200000000002</c:v>
                </c:pt>
                <c:pt idx="2">
                  <c:v>75.120599999999996</c:v>
                </c:pt>
                <c:pt idx="3">
                  <c:v>25.913799999999998</c:v>
                </c:pt>
                <c:pt idx="4">
                  <c:v>38.572400000000002</c:v>
                </c:pt>
                <c:pt idx="5">
                  <c:v>26.515000000000001</c:v>
                </c:pt>
                <c:pt idx="6">
                  <c:v>43.441000000000003</c:v>
                </c:pt>
                <c:pt idx="7">
                  <c:v>126.5742</c:v>
                </c:pt>
                <c:pt idx="8">
                  <c:v>30.143000000000001</c:v>
                </c:pt>
                <c:pt idx="9">
                  <c:v>54.036299999999997</c:v>
                </c:pt>
                <c:pt idx="10">
                  <c:v>26.912400000000002</c:v>
                </c:pt>
                <c:pt idx="11">
                  <c:v>15.7493</c:v>
                </c:pt>
                <c:pt idx="12">
                  <c:v>45.9726</c:v>
                </c:pt>
                <c:pt idx="13">
                  <c:v>53.2074</c:v>
                </c:pt>
                <c:pt idx="14">
                  <c:v>13.3416</c:v>
                </c:pt>
                <c:pt idx="15">
                  <c:v>73.941000000000003</c:v>
                </c:pt>
                <c:pt idx="16">
                  <c:v>10.3066</c:v>
                </c:pt>
                <c:pt idx="17">
                  <c:v>10.680199999999999</c:v>
                </c:pt>
                <c:pt idx="18">
                  <c:v>144.19800000000001</c:v>
                </c:pt>
                <c:pt idx="19">
                  <c:v>82.782899999999998</c:v>
                </c:pt>
                <c:pt idx="20">
                  <c:v>92.548400000000001</c:v>
                </c:pt>
                <c:pt idx="21">
                  <c:v>39.821800000000003</c:v>
                </c:pt>
                <c:pt idx="22">
                  <c:v>119.8737</c:v>
                </c:pt>
                <c:pt idx="23">
                  <c:v>68.994900000000001</c:v>
                </c:pt>
                <c:pt idx="24">
                  <c:v>77.478899999999996</c:v>
                </c:pt>
                <c:pt idx="25">
                  <c:v>74.184399999999997</c:v>
                </c:pt>
                <c:pt idx="26">
                  <c:v>62.581400000000002</c:v>
                </c:pt>
                <c:pt idx="27">
                  <c:v>55.626199999999997</c:v>
                </c:pt>
                <c:pt idx="28">
                  <c:v>33.780999999999999</c:v>
                </c:pt>
                <c:pt idx="29">
                  <c:v>21.125299999999999</c:v>
                </c:pt>
                <c:pt idx="30">
                  <c:v>35.830399999999997</c:v>
                </c:pt>
                <c:pt idx="31">
                  <c:v>54.9512</c:v>
                </c:pt>
                <c:pt idx="32">
                  <c:v>59.918399999999998</c:v>
                </c:pt>
                <c:pt idx="33">
                  <c:v>35.422400000000003</c:v>
                </c:pt>
                <c:pt idx="34">
                  <c:v>54.49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A-4C04-A4C9-4640C9B1F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009279"/>
        <c:axId val="2075020319"/>
      </c:lineChart>
      <c:catAx>
        <c:axId val="2075005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7439"/>
        <c:crosses val="autoZero"/>
        <c:auto val="1"/>
        <c:lblAlgn val="ctr"/>
        <c:lblOffset val="100"/>
        <c:noMultiLvlLbl val="0"/>
      </c:catAx>
      <c:valAx>
        <c:axId val="207501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5919"/>
        <c:crosses val="autoZero"/>
        <c:crossBetween val="between"/>
      </c:valAx>
      <c:valAx>
        <c:axId val="20750203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9279"/>
        <c:crosses val="max"/>
        <c:crossBetween val="between"/>
      </c:valAx>
      <c:catAx>
        <c:axId val="207500927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5020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巡邏次數與巡邏負荷量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Number of Patrol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Sheet1!$D$2:$D$36</c:f>
              <c:numCache>
                <c:formatCode>General</c:formatCode>
                <c:ptCount val="35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8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9</c:v>
                </c:pt>
                <c:pt idx="27">
                  <c:v>5</c:v>
                </c:pt>
                <c:pt idx="28">
                  <c:v>7</c:v>
                </c:pt>
                <c:pt idx="29">
                  <c:v>7</c:v>
                </c:pt>
                <c:pt idx="30">
                  <c:v>9</c:v>
                </c:pt>
                <c:pt idx="31">
                  <c:v>7</c:v>
                </c:pt>
                <c:pt idx="32">
                  <c:v>8</c:v>
                </c:pt>
                <c:pt idx="33">
                  <c:v>7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A-426E-8847-07F95022A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04479"/>
        <c:axId val="2075018399"/>
      </c:barChart>
      <c:lineChart>
        <c:grouping val="standard"/>
        <c:varyColors val="0"/>
        <c:ser>
          <c:idx val="1"/>
          <c:order val="1"/>
          <c:tx>
            <c:strRef>
              <c:f>Sheet1!$I$1</c:f>
              <c:strCache>
                <c:ptCount val="1"/>
                <c:pt idx="0">
                  <c:v>Patrol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Sheet1!$I$2:$I$36</c:f>
              <c:numCache>
                <c:formatCode>0.0000</c:formatCode>
                <c:ptCount val="35"/>
                <c:pt idx="0">
                  <c:v>42.357700000000001</c:v>
                </c:pt>
                <c:pt idx="1">
                  <c:v>30.242999999999999</c:v>
                </c:pt>
                <c:pt idx="2">
                  <c:v>46.239199999999997</c:v>
                </c:pt>
                <c:pt idx="3">
                  <c:v>36.6233</c:v>
                </c:pt>
                <c:pt idx="4">
                  <c:v>83.251199999999997</c:v>
                </c:pt>
                <c:pt idx="5">
                  <c:v>124.5048</c:v>
                </c:pt>
                <c:pt idx="6">
                  <c:v>105.8841</c:v>
                </c:pt>
                <c:pt idx="7">
                  <c:v>79.558499999999995</c:v>
                </c:pt>
                <c:pt idx="8">
                  <c:v>46.884599999999999</c:v>
                </c:pt>
                <c:pt idx="9">
                  <c:v>72.971500000000006</c:v>
                </c:pt>
                <c:pt idx="10">
                  <c:v>84.002399999999994</c:v>
                </c:pt>
                <c:pt idx="11">
                  <c:v>85.86</c:v>
                </c:pt>
                <c:pt idx="12">
                  <c:v>32.197200000000002</c:v>
                </c:pt>
                <c:pt idx="13">
                  <c:v>172.0188</c:v>
                </c:pt>
                <c:pt idx="14">
                  <c:v>109.03060000000001</c:v>
                </c:pt>
                <c:pt idx="15">
                  <c:v>85.785700000000006</c:v>
                </c:pt>
                <c:pt idx="16">
                  <c:v>49.642800000000001</c:v>
                </c:pt>
                <c:pt idx="17">
                  <c:v>218.70240000000001</c:v>
                </c:pt>
                <c:pt idx="18">
                  <c:v>186.6525</c:v>
                </c:pt>
                <c:pt idx="19">
                  <c:v>136.83240000000001</c:v>
                </c:pt>
                <c:pt idx="20">
                  <c:v>176.12559999999999</c:v>
                </c:pt>
                <c:pt idx="21">
                  <c:v>333.15300000000002</c:v>
                </c:pt>
                <c:pt idx="22">
                  <c:v>179.34389999999999</c:v>
                </c:pt>
                <c:pt idx="23">
                  <c:v>213.15770000000001</c:v>
                </c:pt>
                <c:pt idx="24">
                  <c:v>92.670599999999993</c:v>
                </c:pt>
                <c:pt idx="25">
                  <c:v>102.80159999999999</c:v>
                </c:pt>
                <c:pt idx="26">
                  <c:v>327.32819999999998</c:v>
                </c:pt>
                <c:pt idx="27">
                  <c:v>96.777500000000003</c:v>
                </c:pt>
                <c:pt idx="28">
                  <c:v>98.723799999999997</c:v>
                </c:pt>
                <c:pt idx="29">
                  <c:v>83.229299999999995</c:v>
                </c:pt>
                <c:pt idx="30">
                  <c:v>110.80889999999999</c:v>
                </c:pt>
                <c:pt idx="31">
                  <c:v>131.8261</c:v>
                </c:pt>
                <c:pt idx="32">
                  <c:v>78.680800000000005</c:v>
                </c:pt>
                <c:pt idx="33">
                  <c:v>179.2021</c:v>
                </c:pt>
                <c:pt idx="34">
                  <c:v>77.474999999999994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A-426E-8847-07F95022A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003999"/>
        <c:axId val="2075019839"/>
      </c:lineChart>
      <c:catAx>
        <c:axId val="2075004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8399"/>
        <c:crosses val="autoZero"/>
        <c:auto val="1"/>
        <c:lblAlgn val="ctr"/>
        <c:lblOffset val="100"/>
        <c:noMultiLvlLbl val="0"/>
      </c:catAx>
      <c:valAx>
        <c:axId val="20750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4479"/>
        <c:crosses val="autoZero"/>
        <c:crossBetween val="between"/>
      </c:valAx>
      <c:valAx>
        <c:axId val="20750198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3999"/>
        <c:crosses val="max"/>
        <c:crossBetween val="between"/>
      </c:valAx>
      <c:catAx>
        <c:axId val="2075003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5019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備勤次數與備勤負荷量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Number of Standby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Sheet1!$E$2:$E$36</c:f>
              <c:numCache>
                <c:formatCode>General</c:formatCode>
                <c:ptCount val="35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1</c:v>
                </c:pt>
                <c:pt idx="19">
                  <c:v>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5</c:v>
                </c:pt>
                <c:pt idx="25">
                  <c:v>7</c:v>
                </c:pt>
                <c:pt idx="26">
                  <c:v>6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3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2-4268-9B3C-FA17D270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04959"/>
        <c:axId val="2075005439"/>
      </c:barChart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Standby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Sheet1!$J$2:$J$36</c:f>
              <c:numCache>
                <c:formatCode>0.0000</c:formatCode>
                <c:ptCount val="35"/>
                <c:pt idx="0">
                  <c:v>73.412000000000006</c:v>
                </c:pt>
                <c:pt idx="1">
                  <c:v>111.685</c:v>
                </c:pt>
                <c:pt idx="2">
                  <c:v>66.5244</c:v>
                </c:pt>
                <c:pt idx="3">
                  <c:v>131.1952</c:v>
                </c:pt>
                <c:pt idx="4">
                  <c:v>59.1372</c:v>
                </c:pt>
                <c:pt idx="5">
                  <c:v>65.2928</c:v>
                </c:pt>
                <c:pt idx="6">
                  <c:v>105.8034</c:v>
                </c:pt>
                <c:pt idx="7">
                  <c:v>65.435599999999994</c:v>
                </c:pt>
                <c:pt idx="8">
                  <c:v>64.390799999999999</c:v>
                </c:pt>
                <c:pt idx="9">
                  <c:v>119.6272</c:v>
                </c:pt>
                <c:pt idx="10">
                  <c:v>65.215199999999996</c:v>
                </c:pt>
                <c:pt idx="11">
                  <c:v>60.8322</c:v>
                </c:pt>
                <c:pt idx="12">
                  <c:v>190.30199999999999</c:v>
                </c:pt>
                <c:pt idx="13">
                  <c:v>190.5701</c:v>
                </c:pt>
                <c:pt idx="14">
                  <c:v>117.78619999999999</c:v>
                </c:pt>
                <c:pt idx="15">
                  <c:v>51.472000000000001</c:v>
                </c:pt>
                <c:pt idx="16">
                  <c:v>118.9188</c:v>
                </c:pt>
                <c:pt idx="17">
                  <c:v>35.131599999999999</c:v>
                </c:pt>
                <c:pt idx="18">
                  <c:v>4.0365000000000002</c:v>
                </c:pt>
                <c:pt idx="19">
                  <c:v>12.696400000000001</c:v>
                </c:pt>
                <c:pt idx="20">
                  <c:v>41.540100000000002</c:v>
                </c:pt>
                <c:pt idx="21">
                  <c:v>27.222300000000001</c:v>
                </c:pt>
                <c:pt idx="22">
                  <c:v>26.597899999999999</c:v>
                </c:pt>
                <c:pt idx="23">
                  <c:v>57.260399999999997</c:v>
                </c:pt>
                <c:pt idx="24">
                  <c:v>128.97499999999999</c:v>
                </c:pt>
                <c:pt idx="25">
                  <c:v>64.245999999999995</c:v>
                </c:pt>
                <c:pt idx="26">
                  <c:v>135.23759999999999</c:v>
                </c:pt>
                <c:pt idx="27">
                  <c:v>110.4648</c:v>
                </c:pt>
                <c:pt idx="28">
                  <c:v>80.783500000000004</c:v>
                </c:pt>
                <c:pt idx="29">
                  <c:v>48.600299999999997</c:v>
                </c:pt>
                <c:pt idx="30">
                  <c:v>210.95939999999999</c:v>
                </c:pt>
                <c:pt idx="31">
                  <c:v>187.68119999999999</c:v>
                </c:pt>
                <c:pt idx="32">
                  <c:v>47.903100000000002</c:v>
                </c:pt>
                <c:pt idx="33">
                  <c:v>159.77500000000001</c:v>
                </c:pt>
                <c:pt idx="34">
                  <c:v>276.51960000000003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2-4268-9B3C-FA17D270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029919"/>
        <c:axId val="2075030879"/>
      </c:lineChart>
      <c:catAx>
        <c:axId val="2075004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5439"/>
        <c:crosses val="autoZero"/>
        <c:auto val="1"/>
        <c:lblAlgn val="ctr"/>
        <c:lblOffset val="100"/>
        <c:noMultiLvlLbl val="0"/>
      </c:catAx>
      <c:valAx>
        <c:axId val="20750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4959"/>
        <c:crosses val="autoZero"/>
        <c:crossBetween val="between"/>
      </c:valAx>
      <c:valAx>
        <c:axId val="20750308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29919"/>
        <c:crosses val="max"/>
        <c:crossBetween val="between"/>
      </c:valAx>
      <c:catAx>
        <c:axId val="207502991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5030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交通整查次數與交通整查負荷量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Number of Traffic Control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Sheet1!$F$2:$F$36</c:f>
              <c:numCache>
                <c:formatCode>General</c:formatCode>
                <c:ptCount val="3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8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5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B-47A2-96A7-B2B4F89FB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017919"/>
        <c:axId val="2075020799"/>
      </c:barChart>
      <c:lineChart>
        <c:grouping val="standard"/>
        <c:varyColors val="0"/>
        <c:ser>
          <c:idx val="1"/>
          <c:order val="1"/>
          <c:tx>
            <c:strRef>
              <c:f>Sheet1!$K$1</c:f>
              <c:strCache>
                <c:ptCount val="1"/>
                <c:pt idx="0">
                  <c:v>Traffic Control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Sheet1!$K$2:$K$36</c:f>
              <c:numCache>
                <c:formatCode>0.0000</c:formatCode>
                <c:ptCount val="35"/>
                <c:pt idx="0">
                  <c:v>190.59739999999999</c:v>
                </c:pt>
                <c:pt idx="1">
                  <c:v>117.98779999999999</c:v>
                </c:pt>
                <c:pt idx="2">
                  <c:v>248.28440000000001</c:v>
                </c:pt>
                <c:pt idx="3">
                  <c:v>135.27719999999999</c:v>
                </c:pt>
                <c:pt idx="4">
                  <c:v>144.947</c:v>
                </c:pt>
                <c:pt idx="5">
                  <c:v>208.89959999999999</c:v>
                </c:pt>
                <c:pt idx="6">
                  <c:v>165.31970000000001</c:v>
                </c:pt>
                <c:pt idx="7">
                  <c:v>129.61760000000001</c:v>
                </c:pt>
                <c:pt idx="8">
                  <c:v>318.16320000000002</c:v>
                </c:pt>
                <c:pt idx="9">
                  <c:v>145.36529999999999</c:v>
                </c:pt>
                <c:pt idx="10">
                  <c:v>224.4956</c:v>
                </c:pt>
                <c:pt idx="11">
                  <c:v>234.56440000000001</c:v>
                </c:pt>
                <c:pt idx="12">
                  <c:v>205.49520000000001</c:v>
                </c:pt>
                <c:pt idx="13">
                  <c:v>45.8352</c:v>
                </c:pt>
                <c:pt idx="14">
                  <c:v>174.11760000000001</c:v>
                </c:pt>
                <c:pt idx="15">
                  <c:v>133.50819999999999</c:v>
                </c:pt>
                <c:pt idx="16">
                  <c:v>139.46960000000001</c:v>
                </c:pt>
                <c:pt idx="17">
                  <c:v>244.76480000000001</c:v>
                </c:pt>
                <c:pt idx="18">
                  <c:v>97.111000000000004</c:v>
                </c:pt>
                <c:pt idx="19">
                  <c:v>219.85120000000001</c:v>
                </c:pt>
                <c:pt idx="20">
                  <c:v>65.672799999999995</c:v>
                </c:pt>
                <c:pt idx="21">
                  <c:v>81.399500000000003</c:v>
                </c:pt>
                <c:pt idx="22">
                  <c:v>86.057299999999998</c:v>
                </c:pt>
                <c:pt idx="23">
                  <c:v>117.908</c:v>
                </c:pt>
                <c:pt idx="24">
                  <c:v>41.781599999999997</c:v>
                </c:pt>
                <c:pt idx="25">
                  <c:v>60.094999999999999</c:v>
                </c:pt>
                <c:pt idx="26">
                  <c:v>24.545000000000002</c:v>
                </c:pt>
                <c:pt idx="27">
                  <c:v>64.043099999999995</c:v>
                </c:pt>
                <c:pt idx="28">
                  <c:v>91.393500000000003</c:v>
                </c:pt>
                <c:pt idx="29">
                  <c:v>157.91040000000001</c:v>
                </c:pt>
                <c:pt idx="30">
                  <c:v>57.0276</c:v>
                </c:pt>
                <c:pt idx="31">
                  <c:v>38.105400000000003</c:v>
                </c:pt>
                <c:pt idx="32">
                  <c:v>116.98399999999999</c:v>
                </c:pt>
                <c:pt idx="33">
                  <c:v>55.018599999999999</c:v>
                </c:pt>
                <c:pt idx="34">
                  <c:v>42.154699999999998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B-47A2-96A7-B2B4F89FB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032319"/>
        <c:axId val="2075024159"/>
      </c:lineChart>
      <c:catAx>
        <c:axId val="2075017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20799"/>
        <c:crosses val="autoZero"/>
        <c:auto val="1"/>
        <c:lblAlgn val="ctr"/>
        <c:lblOffset val="100"/>
        <c:noMultiLvlLbl val="0"/>
      </c:catAx>
      <c:valAx>
        <c:axId val="20750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次數</a:t>
                </a:r>
              </a:p>
            </c:rich>
          </c:tx>
          <c:layout>
            <c:manualLayout>
              <c:xMode val="edge"/>
              <c:yMode val="edge"/>
              <c:x val="3.0435457983926505E-2"/>
              <c:y val="0.35597795195387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7919"/>
        <c:crosses val="autoZero"/>
        <c:crossBetween val="between"/>
      </c:valAx>
      <c:valAx>
        <c:axId val="20750241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32319"/>
        <c:crosses val="max"/>
        <c:crossBetween val="between"/>
      </c:valAx>
      <c:catAx>
        <c:axId val="207503231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5024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Police Office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4-4AEE-8097-A41BC5DE8812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Number of Spot Checks Shift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Sheet1!$B$2:$B$36</c:f>
              <c:numCache>
                <c:formatCode>General</c:formatCode>
                <c:ptCount val="35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9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9</c:v>
                </c:pt>
                <c:pt idx="19">
                  <c:v>9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9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4-4AEE-8097-A41BC5DE8812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Number of On Duty Shift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Sheet1!$C$2:$C$36</c:f>
              <c:numCache>
                <c:formatCode>General</c:formatCode>
                <c:ptCount val="35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4-4AEE-8097-A41BC5DE8812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Number of Patrol Shift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Sheet1!$D$2:$D$36</c:f>
              <c:numCache>
                <c:formatCode>General</c:formatCode>
                <c:ptCount val="35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8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9</c:v>
                </c:pt>
                <c:pt idx="27">
                  <c:v>5</c:v>
                </c:pt>
                <c:pt idx="28">
                  <c:v>7</c:v>
                </c:pt>
                <c:pt idx="29">
                  <c:v>7</c:v>
                </c:pt>
                <c:pt idx="30">
                  <c:v>9</c:v>
                </c:pt>
                <c:pt idx="31">
                  <c:v>7</c:v>
                </c:pt>
                <c:pt idx="32">
                  <c:v>8</c:v>
                </c:pt>
                <c:pt idx="33">
                  <c:v>7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4-4AEE-8097-A41BC5DE8812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Number of Standby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Sheet1!$E$2:$E$36</c:f>
              <c:numCache>
                <c:formatCode>General</c:formatCode>
                <c:ptCount val="35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1</c:v>
                </c:pt>
                <c:pt idx="19">
                  <c:v>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5</c:v>
                </c:pt>
                <c:pt idx="25">
                  <c:v>7</c:v>
                </c:pt>
                <c:pt idx="26">
                  <c:v>6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3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4-4AEE-8097-A41BC5DE8812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Number of Traffic Control Shift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Sheet1!$F$2:$F$36</c:f>
              <c:numCache>
                <c:formatCode>General</c:formatCode>
                <c:ptCount val="3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8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5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4-4AEE-8097-A41BC5DE8812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Spot Checks Workload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Sheet1!$G$2:$G$36</c:f>
              <c:numCache>
                <c:formatCode>0.0000</c:formatCode>
                <c:ptCount val="35"/>
                <c:pt idx="0">
                  <c:v>324.4896</c:v>
                </c:pt>
                <c:pt idx="1">
                  <c:v>329.64800000000002</c:v>
                </c:pt>
                <c:pt idx="2">
                  <c:v>147.99850000000001</c:v>
                </c:pt>
                <c:pt idx="3">
                  <c:v>284.33249999999998</c:v>
                </c:pt>
                <c:pt idx="4">
                  <c:v>283.15620000000001</c:v>
                </c:pt>
                <c:pt idx="5">
                  <c:v>181.84530000000001</c:v>
                </c:pt>
                <c:pt idx="6">
                  <c:v>175.2176</c:v>
                </c:pt>
                <c:pt idx="7">
                  <c:v>224.93520000000001</c:v>
                </c:pt>
                <c:pt idx="8">
                  <c:v>101.256</c:v>
                </c:pt>
                <c:pt idx="9">
                  <c:v>192.01589999999999</c:v>
                </c:pt>
                <c:pt idx="10">
                  <c:v>231.72450000000001</c:v>
                </c:pt>
                <c:pt idx="11">
                  <c:v>217.43960000000001</c:v>
                </c:pt>
                <c:pt idx="12">
                  <c:v>158.61959999999999</c:v>
                </c:pt>
                <c:pt idx="13">
                  <c:v>88.766999999999996</c:v>
                </c:pt>
                <c:pt idx="14">
                  <c:v>227.4391</c:v>
                </c:pt>
                <c:pt idx="15">
                  <c:v>269.84719999999999</c:v>
                </c:pt>
                <c:pt idx="16">
                  <c:v>397.49759999999998</c:v>
                </c:pt>
                <c:pt idx="17">
                  <c:v>158.5385</c:v>
                </c:pt>
                <c:pt idx="18">
                  <c:v>180.7407</c:v>
                </c:pt>
                <c:pt idx="19">
                  <c:v>170.50319999999999</c:v>
                </c:pt>
                <c:pt idx="20">
                  <c:v>87.833500000000001</c:v>
                </c:pt>
                <c:pt idx="21">
                  <c:v>137.77350000000001</c:v>
                </c:pt>
                <c:pt idx="22">
                  <c:v>96.085599999999999</c:v>
                </c:pt>
                <c:pt idx="23">
                  <c:v>120.8304</c:v>
                </c:pt>
                <c:pt idx="24">
                  <c:v>221.68719999999999</c:v>
                </c:pt>
                <c:pt idx="25">
                  <c:v>193.767</c:v>
                </c:pt>
                <c:pt idx="26">
                  <c:v>39.127200000000002</c:v>
                </c:pt>
                <c:pt idx="27">
                  <c:v>191.4444</c:v>
                </c:pt>
                <c:pt idx="28">
                  <c:v>352.68209999999999</c:v>
                </c:pt>
                <c:pt idx="29">
                  <c:v>282.12169999999998</c:v>
                </c:pt>
                <c:pt idx="30">
                  <c:v>59.855600000000003</c:v>
                </c:pt>
                <c:pt idx="31">
                  <c:v>144.54900000000001</c:v>
                </c:pt>
                <c:pt idx="32">
                  <c:v>312.16149999999999</c:v>
                </c:pt>
                <c:pt idx="33">
                  <c:v>66.34</c:v>
                </c:pt>
                <c:pt idx="34">
                  <c:v>105.6159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4-4AEE-8097-A41BC5DE8812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On Duty Workload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Sheet1!$H$2:$H$36</c:f>
              <c:numCache>
                <c:formatCode>0.0000</c:formatCode>
                <c:ptCount val="35"/>
                <c:pt idx="0">
                  <c:v>34.4313</c:v>
                </c:pt>
                <c:pt idx="1">
                  <c:v>41.886200000000002</c:v>
                </c:pt>
                <c:pt idx="2">
                  <c:v>75.120599999999996</c:v>
                </c:pt>
                <c:pt idx="3">
                  <c:v>25.913799999999998</c:v>
                </c:pt>
                <c:pt idx="4">
                  <c:v>38.572400000000002</c:v>
                </c:pt>
                <c:pt idx="5">
                  <c:v>26.515000000000001</c:v>
                </c:pt>
                <c:pt idx="6">
                  <c:v>43.441000000000003</c:v>
                </c:pt>
                <c:pt idx="7">
                  <c:v>126.5742</c:v>
                </c:pt>
                <c:pt idx="8">
                  <c:v>30.143000000000001</c:v>
                </c:pt>
                <c:pt idx="9">
                  <c:v>54.036299999999997</c:v>
                </c:pt>
                <c:pt idx="10">
                  <c:v>26.912400000000002</c:v>
                </c:pt>
                <c:pt idx="11">
                  <c:v>15.7493</c:v>
                </c:pt>
                <c:pt idx="12">
                  <c:v>45.9726</c:v>
                </c:pt>
                <c:pt idx="13">
                  <c:v>53.2074</c:v>
                </c:pt>
                <c:pt idx="14">
                  <c:v>13.3416</c:v>
                </c:pt>
                <c:pt idx="15">
                  <c:v>73.941000000000003</c:v>
                </c:pt>
                <c:pt idx="16">
                  <c:v>10.3066</c:v>
                </c:pt>
                <c:pt idx="17">
                  <c:v>10.680199999999999</c:v>
                </c:pt>
                <c:pt idx="18">
                  <c:v>144.19800000000001</c:v>
                </c:pt>
                <c:pt idx="19">
                  <c:v>82.782899999999998</c:v>
                </c:pt>
                <c:pt idx="20">
                  <c:v>92.548400000000001</c:v>
                </c:pt>
                <c:pt idx="21">
                  <c:v>39.821800000000003</c:v>
                </c:pt>
                <c:pt idx="22">
                  <c:v>119.8737</c:v>
                </c:pt>
                <c:pt idx="23">
                  <c:v>68.994900000000001</c:v>
                </c:pt>
                <c:pt idx="24">
                  <c:v>77.478899999999996</c:v>
                </c:pt>
                <c:pt idx="25">
                  <c:v>74.184399999999997</c:v>
                </c:pt>
                <c:pt idx="26">
                  <c:v>62.581400000000002</c:v>
                </c:pt>
                <c:pt idx="27">
                  <c:v>55.626199999999997</c:v>
                </c:pt>
                <c:pt idx="28">
                  <c:v>33.780999999999999</c:v>
                </c:pt>
                <c:pt idx="29">
                  <c:v>21.125299999999999</c:v>
                </c:pt>
                <c:pt idx="30">
                  <c:v>35.830399999999997</c:v>
                </c:pt>
                <c:pt idx="31">
                  <c:v>54.9512</c:v>
                </c:pt>
                <c:pt idx="32">
                  <c:v>59.918399999999998</c:v>
                </c:pt>
                <c:pt idx="33">
                  <c:v>35.422400000000003</c:v>
                </c:pt>
                <c:pt idx="34">
                  <c:v>54.49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4-4AEE-8097-A41BC5DE8812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Patrol Workload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Sheet1!$I$2:$I$36</c:f>
              <c:numCache>
                <c:formatCode>0.0000</c:formatCode>
                <c:ptCount val="35"/>
                <c:pt idx="0">
                  <c:v>42.357700000000001</c:v>
                </c:pt>
                <c:pt idx="1">
                  <c:v>30.242999999999999</c:v>
                </c:pt>
                <c:pt idx="2">
                  <c:v>46.239199999999997</c:v>
                </c:pt>
                <c:pt idx="3">
                  <c:v>36.6233</c:v>
                </c:pt>
                <c:pt idx="4">
                  <c:v>83.251199999999997</c:v>
                </c:pt>
                <c:pt idx="5">
                  <c:v>124.5048</c:v>
                </c:pt>
                <c:pt idx="6">
                  <c:v>105.8841</c:v>
                </c:pt>
                <c:pt idx="7">
                  <c:v>79.558499999999995</c:v>
                </c:pt>
                <c:pt idx="8">
                  <c:v>46.884599999999999</c:v>
                </c:pt>
                <c:pt idx="9">
                  <c:v>72.971500000000006</c:v>
                </c:pt>
                <c:pt idx="10">
                  <c:v>84.002399999999994</c:v>
                </c:pt>
                <c:pt idx="11">
                  <c:v>85.86</c:v>
                </c:pt>
                <c:pt idx="12">
                  <c:v>32.197200000000002</c:v>
                </c:pt>
                <c:pt idx="13">
                  <c:v>172.0188</c:v>
                </c:pt>
                <c:pt idx="14">
                  <c:v>109.03060000000001</c:v>
                </c:pt>
                <c:pt idx="15">
                  <c:v>85.785700000000006</c:v>
                </c:pt>
                <c:pt idx="16">
                  <c:v>49.642800000000001</c:v>
                </c:pt>
                <c:pt idx="17">
                  <c:v>218.70240000000001</c:v>
                </c:pt>
                <c:pt idx="18">
                  <c:v>186.6525</c:v>
                </c:pt>
                <c:pt idx="19">
                  <c:v>136.83240000000001</c:v>
                </c:pt>
                <c:pt idx="20">
                  <c:v>176.12559999999999</c:v>
                </c:pt>
                <c:pt idx="21">
                  <c:v>333.15300000000002</c:v>
                </c:pt>
                <c:pt idx="22">
                  <c:v>179.34389999999999</c:v>
                </c:pt>
                <c:pt idx="23">
                  <c:v>213.15770000000001</c:v>
                </c:pt>
                <c:pt idx="24">
                  <c:v>92.670599999999993</c:v>
                </c:pt>
                <c:pt idx="25">
                  <c:v>102.80159999999999</c:v>
                </c:pt>
                <c:pt idx="26">
                  <c:v>327.32819999999998</c:v>
                </c:pt>
                <c:pt idx="27">
                  <c:v>96.777500000000003</c:v>
                </c:pt>
                <c:pt idx="28">
                  <c:v>98.723799999999997</c:v>
                </c:pt>
                <c:pt idx="29">
                  <c:v>83.229299999999995</c:v>
                </c:pt>
                <c:pt idx="30">
                  <c:v>110.80889999999999</c:v>
                </c:pt>
                <c:pt idx="31">
                  <c:v>131.8261</c:v>
                </c:pt>
                <c:pt idx="32">
                  <c:v>78.680800000000005</c:v>
                </c:pt>
                <c:pt idx="33">
                  <c:v>179.2021</c:v>
                </c:pt>
                <c:pt idx="34">
                  <c:v>77.474999999999994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4-4AEE-8097-A41BC5DE8812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Standby Workload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Sheet1!$J$2:$J$36</c:f>
              <c:numCache>
                <c:formatCode>0.0000</c:formatCode>
                <c:ptCount val="35"/>
                <c:pt idx="0">
                  <c:v>73.412000000000006</c:v>
                </c:pt>
                <c:pt idx="1">
                  <c:v>111.685</c:v>
                </c:pt>
                <c:pt idx="2">
                  <c:v>66.5244</c:v>
                </c:pt>
                <c:pt idx="3">
                  <c:v>131.1952</c:v>
                </c:pt>
                <c:pt idx="4">
                  <c:v>59.1372</c:v>
                </c:pt>
                <c:pt idx="5">
                  <c:v>65.2928</c:v>
                </c:pt>
                <c:pt idx="6">
                  <c:v>105.8034</c:v>
                </c:pt>
                <c:pt idx="7">
                  <c:v>65.435599999999994</c:v>
                </c:pt>
                <c:pt idx="8">
                  <c:v>64.390799999999999</c:v>
                </c:pt>
                <c:pt idx="9">
                  <c:v>119.6272</c:v>
                </c:pt>
                <c:pt idx="10">
                  <c:v>65.215199999999996</c:v>
                </c:pt>
                <c:pt idx="11">
                  <c:v>60.8322</c:v>
                </c:pt>
                <c:pt idx="12">
                  <c:v>190.30199999999999</c:v>
                </c:pt>
                <c:pt idx="13">
                  <c:v>190.5701</c:v>
                </c:pt>
                <c:pt idx="14">
                  <c:v>117.78619999999999</c:v>
                </c:pt>
                <c:pt idx="15">
                  <c:v>51.472000000000001</c:v>
                </c:pt>
                <c:pt idx="16">
                  <c:v>118.9188</c:v>
                </c:pt>
                <c:pt idx="17">
                  <c:v>35.131599999999999</c:v>
                </c:pt>
                <c:pt idx="18">
                  <c:v>4.0365000000000002</c:v>
                </c:pt>
                <c:pt idx="19">
                  <c:v>12.696400000000001</c:v>
                </c:pt>
                <c:pt idx="20">
                  <c:v>41.540100000000002</c:v>
                </c:pt>
                <c:pt idx="21">
                  <c:v>27.222300000000001</c:v>
                </c:pt>
                <c:pt idx="22">
                  <c:v>26.597899999999999</c:v>
                </c:pt>
                <c:pt idx="23">
                  <c:v>57.260399999999997</c:v>
                </c:pt>
                <c:pt idx="24">
                  <c:v>128.97499999999999</c:v>
                </c:pt>
                <c:pt idx="25">
                  <c:v>64.245999999999995</c:v>
                </c:pt>
                <c:pt idx="26">
                  <c:v>135.23759999999999</c:v>
                </c:pt>
                <c:pt idx="27">
                  <c:v>110.4648</c:v>
                </c:pt>
                <c:pt idx="28">
                  <c:v>80.783500000000004</c:v>
                </c:pt>
                <c:pt idx="29">
                  <c:v>48.600299999999997</c:v>
                </c:pt>
                <c:pt idx="30">
                  <c:v>210.95939999999999</c:v>
                </c:pt>
                <c:pt idx="31">
                  <c:v>187.68119999999999</c:v>
                </c:pt>
                <c:pt idx="32">
                  <c:v>47.903100000000002</c:v>
                </c:pt>
                <c:pt idx="33">
                  <c:v>159.77500000000001</c:v>
                </c:pt>
                <c:pt idx="34">
                  <c:v>276.51960000000003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CC4-4AEE-8097-A41BC5DE8812}"/>
            </c:ext>
          </c:extLst>
        </c:ser>
        <c:ser>
          <c:idx val="10"/>
          <c:order val="10"/>
          <c:tx>
            <c:strRef>
              <c:f>Sheet1!$K$1</c:f>
              <c:strCache>
                <c:ptCount val="1"/>
                <c:pt idx="0">
                  <c:v>Traffic Control Workload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Sheet1!$K$2:$K$36</c:f>
              <c:numCache>
                <c:formatCode>0.0000</c:formatCode>
                <c:ptCount val="35"/>
                <c:pt idx="0">
                  <c:v>190.59739999999999</c:v>
                </c:pt>
                <c:pt idx="1">
                  <c:v>117.98779999999999</c:v>
                </c:pt>
                <c:pt idx="2">
                  <c:v>248.28440000000001</c:v>
                </c:pt>
                <c:pt idx="3">
                  <c:v>135.27719999999999</c:v>
                </c:pt>
                <c:pt idx="4">
                  <c:v>144.947</c:v>
                </c:pt>
                <c:pt idx="5">
                  <c:v>208.89959999999999</c:v>
                </c:pt>
                <c:pt idx="6">
                  <c:v>165.31970000000001</c:v>
                </c:pt>
                <c:pt idx="7">
                  <c:v>129.61760000000001</c:v>
                </c:pt>
                <c:pt idx="8">
                  <c:v>318.16320000000002</c:v>
                </c:pt>
                <c:pt idx="9">
                  <c:v>145.36529999999999</c:v>
                </c:pt>
                <c:pt idx="10">
                  <c:v>224.4956</c:v>
                </c:pt>
                <c:pt idx="11">
                  <c:v>234.56440000000001</c:v>
                </c:pt>
                <c:pt idx="12">
                  <c:v>205.49520000000001</c:v>
                </c:pt>
                <c:pt idx="13">
                  <c:v>45.8352</c:v>
                </c:pt>
                <c:pt idx="14">
                  <c:v>174.11760000000001</c:v>
                </c:pt>
                <c:pt idx="15">
                  <c:v>133.50819999999999</c:v>
                </c:pt>
                <c:pt idx="16">
                  <c:v>139.46960000000001</c:v>
                </c:pt>
                <c:pt idx="17">
                  <c:v>244.76480000000001</c:v>
                </c:pt>
                <c:pt idx="18">
                  <c:v>97.111000000000004</c:v>
                </c:pt>
                <c:pt idx="19">
                  <c:v>219.85120000000001</c:v>
                </c:pt>
                <c:pt idx="20">
                  <c:v>65.672799999999995</c:v>
                </c:pt>
                <c:pt idx="21">
                  <c:v>81.399500000000003</c:v>
                </c:pt>
                <c:pt idx="22">
                  <c:v>86.057299999999998</c:v>
                </c:pt>
                <c:pt idx="23">
                  <c:v>117.908</c:v>
                </c:pt>
                <c:pt idx="24">
                  <c:v>41.781599999999997</c:v>
                </c:pt>
                <c:pt idx="25">
                  <c:v>60.094999999999999</c:v>
                </c:pt>
                <c:pt idx="26">
                  <c:v>24.545000000000002</c:v>
                </c:pt>
                <c:pt idx="27">
                  <c:v>64.043099999999995</c:v>
                </c:pt>
                <c:pt idx="28">
                  <c:v>91.393500000000003</c:v>
                </c:pt>
                <c:pt idx="29">
                  <c:v>157.91040000000001</c:v>
                </c:pt>
                <c:pt idx="30">
                  <c:v>57.0276</c:v>
                </c:pt>
                <c:pt idx="31">
                  <c:v>38.105400000000003</c:v>
                </c:pt>
                <c:pt idx="32">
                  <c:v>116.98399999999999</c:v>
                </c:pt>
                <c:pt idx="33">
                  <c:v>55.018599999999999</c:v>
                </c:pt>
                <c:pt idx="34">
                  <c:v>42.154699999999998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C4-4AEE-8097-A41BC5DE8812}"/>
            </c:ext>
          </c:extLst>
        </c:ser>
        <c:ser>
          <c:idx val="11"/>
          <c:order val="1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CC4-4AEE-8097-A41BC5DE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8038432"/>
        <c:axId val="1618038912"/>
      </c:barChart>
      <c:catAx>
        <c:axId val="161803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8912"/>
        <c:crosses val="autoZero"/>
        <c:auto val="1"/>
        <c:lblAlgn val="ctr"/>
        <c:lblOffset val="100"/>
        <c:noMultiLvlLbl val="0"/>
      </c:catAx>
      <c:valAx>
        <c:axId val="16180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Spot Checks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Sheet1!$B$2:$B$36</c:f>
              <c:numCache>
                <c:formatCode>General</c:formatCode>
                <c:ptCount val="35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9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9</c:v>
                </c:pt>
                <c:pt idx="19">
                  <c:v>9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9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B-4D25-A733-2942214C3EC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Number of On Duty Shift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Sheet1!$C$2:$C$36</c:f>
              <c:numCache>
                <c:formatCode>General</c:formatCode>
                <c:ptCount val="35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B-4D25-A733-2942214C3EC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Number of Patrol Shift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Sheet1!$D$2:$D$36</c:f>
              <c:numCache>
                <c:formatCode>General</c:formatCode>
                <c:ptCount val="35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8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9</c:v>
                </c:pt>
                <c:pt idx="27">
                  <c:v>5</c:v>
                </c:pt>
                <c:pt idx="28">
                  <c:v>7</c:v>
                </c:pt>
                <c:pt idx="29">
                  <c:v>7</c:v>
                </c:pt>
                <c:pt idx="30">
                  <c:v>9</c:v>
                </c:pt>
                <c:pt idx="31">
                  <c:v>7</c:v>
                </c:pt>
                <c:pt idx="32">
                  <c:v>8</c:v>
                </c:pt>
                <c:pt idx="33">
                  <c:v>7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B-4D25-A733-2942214C3EC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Number of Standby Shift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Sheet1!$E$2:$E$36</c:f>
              <c:numCache>
                <c:formatCode>General</c:formatCode>
                <c:ptCount val="35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1</c:v>
                </c:pt>
                <c:pt idx="19">
                  <c:v>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5</c:v>
                </c:pt>
                <c:pt idx="25">
                  <c:v>7</c:v>
                </c:pt>
                <c:pt idx="26">
                  <c:v>6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3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B-4D25-A733-2942214C3EC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Number of Traffic Control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Sheet1!$F$2:$F$36</c:f>
              <c:numCache>
                <c:formatCode>General</c:formatCode>
                <c:ptCount val="3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8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5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B-4D25-A733-2942214C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7949632"/>
        <c:axId val="1617951552"/>
      </c:barChart>
      <c:catAx>
        <c:axId val="16179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51552"/>
        <c:crosses val="autoZero"/>
        <c:auto val="1"/>
        <c:lblAlgn val="ctr"/>
        <c:lblOffset val="100"/>
        <c:noMultiLvlLbl val="0"/>
      </c:catAx>
      <c:valAx>
        <c:axId val="16179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4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Spot Checks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Sheet1!$G$2:$G$36</c:f>
              <c:numCache>
                <c:formatCode>0.0000</c:formatCode>
                <c:ptCount val="35"/>
                <c:pt idx="0">
                  <c:v>324.4896</c:v>
                </c:pt>
                <c:pt idx="1">
                  <c:v>329.64800000000002</c:v>
                </c:pt>
                <c:pt idx="2">
                  <c:v>147.99850000000001</c:v>
                </c:pt>
                <c:pt idx="3">
                  <c:v>284.33249999999998</c:v>
                </c:pt>
                <c:pt idx="4">
                  <c:v>283.15620000000001</c:v>
                </c:pt>
                <c:pt idx="5">
                  <c:v>181.84530000000001</c:v>
                </c:pt>
                <c:pt idx="6">
                  <c:v>175.2176</c:v>
                </c:pt>
                <c:pt idx="7">
                  <c:v>224.93520000000001</c:v>
                </c:pt>
                <c:pt idx="8">
                  <c:v>101.256</c:v>
                </c:pt>
                <c:pt idx="9">
                  <c:v>192.01589999999999</c:v>
                </c:pt>
                <c:pt idx="10">
                  <c:v>231.72450000000001</c:v>
                </c:pt>
                <c:pt idx="11">
                  <c:v>217.43960000000001</c:v>
                </c:pt>
                <c:pt idx="12">
                  <c:v>158.61959999999999</c:v>
                </c:pt>
                <c:pt idx="13">
                  <c:v>88.766999999999996</c:v>
                </c:pt>
                <c:pt idx="14">
                  <c:v>227.4391</c:v>
                </c:pt>
                <c:pt idx="15">
                  <c:v>269.84719999999999</c:v>
                </c:pt>
                <c:pt idx="16">
                  <c:v>397.49759999999998</c:v>
                </c:pt>
                <c:pt idx="17">
                  <c:v>158.5385</c:v>
                </c:pt>
                <c:pt idx="18">
                  <c:v>180.7407</c:v>
                </c:pt>
                <c:pt idx="19">
                  <c:v>170.50319999999999</c:v>
                </c:pt>
                <c:pt idx="20">
                  <c:v>87.833500000000001</c:v>
                </c:pt>
                <c:pt idx="21">
                  <c:v>137.77350000000001</c:v>
                </c:pt>
                <c:pt idx="22">
                  <c:v>96.085599999999999</c:v>
                </c:pt>
                <c:pt idx="23">
                  <c:v>120.8304</c:v>
                </c:pt>
                <c:pt idx="24">
                  <c:v>221.68719999999999</c:v>
                </c:pt>
                <c:pt idx="25">
                  <c:v>193.767</c:v>
                </c:pt>
                <c:pt idx="26">
                  <c:v>39.127200000000002</c:v>
                </c:pt>
                <c:pt idx="27">
                  <c:v>191.4444</c:v>
                </c:pt>
                <c:pt idx="28">
                  <c:v>352.68209999999999</c:v>
                </c:pt>
                <c:pt idx="29">
                  <c:v>282.12169999999998</c:v>
                </c:pt>
                <c:pt idx="30">
                  <c:v>59.855600000000003</c:v>
                </c:pt>
                <c:pt idx="31">
                  <c:v>144.54900000000001</c:v>
                </c:pt>
                <c:pt idx="32">
                  <c:v>312.16149999999999</c:v>
                </c:pt>
                <c:pt idx="33">
                  <c:v>66.34</c:v>
                </c:pt>
                <c:pt idx="34">
                  <c:v>105.6159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6-4156-85A0-E0E3944F2D5D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On Duty Workload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Sheet1!$H$2:$H$36</c:f>
              <c:numCache>
                <c:formatCode>0.0000</c:formatCode>
                <c:ptCount val="35"/>
                <c:pt idx="0">
                  <c:v>34.4313</c:v>
                </c:pt>
                <c:pt idx="1">
                  <c:v>41.886200000000002</c:v>
                </c:pt>
                <c:pt idx="2">
                  <c:v>75.120599999999996</c:v>
                </c:pt>
                <c:pt idx="3">
                  <c:v>25.913799999999998</c:v>
                </c:pt>
                <c:pt idx="4">
                  <c:v>38.572400000000002</c:v>
                </c:pt>
                <c:pt idx="5">
                  <c:v>26.515000000000001</c:v>
                </c:pt>
                <c:pt idx="6">
                  <c:v>43.441000000000003</c:v>
                </c:pt>
                <c:pt idx="7">
                  <c:v>126.5742</c:v>
                </c:pt>
                <c:pt idx="8">
                  <c:v>30.143000000000001</c:v>
                </c:pt>
                <c:pt idx="9">
                  <c:v>54.036299999999997</c:v>
                </c:pt>
                <c:pt idx="10">
                  <c:v>26.912400000000002</c:v>
                </c:pt>
                <c:pt idx="11">
                  <c:v>15.7493</c:v>
                </c:pt>
                <c:pt idx="12">
                  <c:v>45.9726</c:v>
                </c:pt>
                <c:pt idx="13">
                  <c:v>53.2074</c:v>
                </c:pt>
                <c:pt idx="14">
                  <c:v>13.3416</c:v>
                </c:pt>
                <c:pt idx="15">
                  <c:v>73.941000000000003</c:v>
                </c:pt>
                <c:pt idx="16">
                  <c:v>10.3066</c:v>
                </c:pt>
                <c:pt idx="17">
                  <c:v>10.680199999999999</c:v>
                </c:pt>
                <c:pt idx="18">
                  <c:v>144.19800000000001</c:v>
                </c:pt>
                <c:pt idx="19">
                  <c:v>82.782899999999998</c:v>
                </c:pt>
                <c:pt idx="20">
                  <c:v>92.548400000000001</c:v>
                </c:pt>
                <c:pt idx="21">
                  <c:v>39.821800000000003</c:v>
                </c:pt>
                <c:pt idx="22">
                  <c:v>119.8737</c:v>
                </c:pt>
                <c:pt idx="23">
                  <c:v>68.994900000000001</c:v>
                </c:pt>
                <c:pt idx="24">
                  <c:v>77.478899999999996</c:v>
                </c:pt>
                <c:pt idx="25">
                  <c:v>74.184399999999997</c:v>
                </c:pt>
                <c:pt idx="26">
                  <c:v>62.581400000000002</c:v>
                </c:pt>
                <c:pt idx="27">
                  <c:v>55.626199999999997</c:v>
                </c:pt>
                <c:pt idx="28">
                  <c:v>33.780999999999999</c:v>
                </c:pt>
                <c:pt idx="29">
                  <c:v>21.125299999999999</c:v>
                </c:pt>
                <c:pt idx="30">
                  <c:v>35.830399999999997</c:v>
                </c:pt>
                <c:pt idx="31">
                  <c:v>54.9512</c:v>
                </c:pt>
                <c:pt idx="32">
                  <c:v>59.918399999999998</c:v>
                </c:pt>
                <c:pt idx="33">
                  <c:v>35.422400000000003</c:v>
                </c:pt>
                <c:pt idx="34">
                  <c:v>54.49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6-4156-85A0-E0E3944F2D5D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Patrol Workload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Sheet1!$I$2:$I$36</c:f>
              <c:numCache>
                <c:formatCode>0.0000</c:formatCode>
                <c:ptCount val="35"/>
                <c:pt idx="0">
                  <c:v>42.357700000000001</c:v>
                </c:pt>
                <c:pt idx="1">
                  <c:v>30.242999999999999</c:v>
                </c:pt>
                <c:pt idx="2">
                  <c:v>46.239199999999997</c:v>
                </c:pt>
                <c:pt idx="3">
                  <c:v>36.6233</c:v>
                </c:pt>
                <c:pt idx="4">
                  <c:v>83.251199999999997</c:v>
                </c:pt>
                <c:pt idx="5">
                  <c:v>124.5048</c:v>
                </c:pt>
                <c:pt idx="6">
                  <c:v>105.8841</c:v>
                </c:pt>
                <c:pt idx="7">
                  <c:v>79.558499999999995</c:v>
                </c:pt>
                <c:pt idx="8">
                  <c:v>46.884599999999999</c:v>
                </c:pt>
                <c:pt idx="9">
                  <c:v>72.971500000000006</c:v>
                </c:pt>
                <c:pt idx="10">
                  <c:v>84.002399999999994</c:v>
                </c:pt>
                <c:pt idx="11">
                  <c:v>85.86</c:v>
                </c:pt>
                <c:pt idx="12">
                  <c:v>32.197200000000002</c:v>
                </c:pt>
                <c:pt idx="13">
                  <c:v>172.0188</c:v>
                </c:pt>
                <c:pt idx="14">
                  <c:v>109.03060000000001</c:v>
                </c:pt>
                <c:pt idx="15">
                  <c:v>85.785700000000006</c:v>
                </c:pt>
                <c:pt idx="16">
                  <c:v>49.642800000000001</c:v>
                </c:pt>
                <c:pt idx="17">
                  <c:v>218.70240000000001</c:v>
                </c:pt>
                <c:pt idx="18">
                  <c:v>186.6525</c:v>
                </c:pt>
                <c:pt idx="19">
                  <c:v>136.83240000000001</c:v>
                </c:pt>
                <c:pt idx="20">
                  <c:v>176.12559999999999</c:v>
                </c:pt>
                <c:pt idx="21">
                  <c:v>333.15300000000002</c:v>
                </c:pt>
                <c:pt idx="22">
                  <c:v>179.34389999999999</c:v>
                </c:pt>
                <c:pt idx="23">
                  <c:v>213.15770000000001</c:v>
                </c:pt>
                <c:pt idx="24">
                  <c:v>92.670599999999993</c:v>
                </c:pt>
                <c:pt idx="25">
                  <c:v>102.80159999999999</c:v>
                </c:pt>
                <c:pt idx="26">
                  <c:v>327.32819999999998</c:v>
                </c:pt>
                <c:pt idx="27">
                  <c:v>96.777500000000003</c:v>
                </c:pt>
                <c:pt idx="28">
                  <c:v>98.723799999999997</c:v>
                </c:pt>
                <c:pt idx="29">
                  <c:v>83.229299999999995</c:v>
                </c:pt>
                <c:pt idx="30">
                  <c:v>110.80889999999999</c:v>
                </c:pt>
                <c:pt idx="31">
                  <c:v>131.8261</c:v>
                </c:pt>
                <c:pt idx="32">
                  <c:v>78.680800000000005</c:v>
                </c:pt>
                <c:pt idx="33">
                  <c:v>179.2021</c:v>
                </c:pt>
                <c:pt idx="34">
                  <c:v>77.474999999999994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E6-4156-85A0-E0E3944F2D5D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Standby Workload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Sheet1!$J$2:$J$36</c:f>
              <c:numCache>
                <c:formatCode>0.0000</c:formatCode>
                <c:ptCount val="35"/>
                <c:pt idx="0">
                  <c:v>73.412000000000006</c:v>
                </c:pt>
                <c:pt idx="1">
                  <c:v>111.685</c:v>
                </c:pt>
                <c:pt idx="2">
                  <c:v>66.5244</c:v>
                </c:pt>
                <c:pt idx="3">
                  <c:v>131.1952</c:v>
                </c:pt>
                <c:pt idx="4">
                  <c:v>59.1372</c:v>
                </c:pt>
                <c:pt idx="5">
                  <c:v>65.2928</c:v>
                </c:pt>
                <c:pt idx="6">
                  <c:v>105.8034</c:v>
                </c:pt>
                <c:pt idx="7">
                  <c:v>65.435599999999994</c:v>
                </c:pt>
                <c:pt idx="8">
                  <c:v>64.390799999999999</c:v>
                </c:pt>
                <c:pt idx="9">
                  <c:v>119.6272</c:v>
                </c:pt>
                <c:pt idx="10">
                  <c:v>65.215199999999996</c:v>
                </c:pt>
                <c:pt idx="11">
                  <c:v>60.8322</c:v>
                </c:pt>
                <c:pt idx="12">
                  <c:v>190.30199999999999</c:v>
                </c:pt>
                <c:pt idx="13">
                  <c:v>190.5701</c:v>
                </c:pt>
                <c:pt idx="14">
                  <c:v>117.78619999999999</c:v>
                </c:pt>
                <c:pt idx="15">
                  <c:v>51.472000000000001</c:v>
                </c:pt>
                <c:pt idx="16">
                  <c:v>118.9188</c:v>
                </c:pt>
                <c:pt idx="17">
                  <c:v>35.131599999999999</c:v>
                </c:pt>
                <c:pt idx="18">
                  <c:v>4.0365000000000002</c:v>
                </c:pt>
                <c:pt idx="19">
                  <c:v>12.696400000000001</c:v>
                </c:pt>
                <c:pt idx="20">
                  <c:v>41.540100000000002</c:v>
                </c:pt>
                <c:pt idx="21">
                  <c:v>27.222300000000001</c:v>
                </c:pt>
                <c:pt idx="22">
                  <c:v>26.597899999999999</c:v>
                </c:pt>
                <c:pt idx="23">
                  <c:v>57.260399999999997</c:v>
                </c:pt>
                <c:pt idx="24">
                  <c:v>128.97499999999999</c:v>
                </c:pt>
                <c:pt idx="25">
                  <c:v>64.245999999999995</c:v>
                </c:pt>
                <c:pt idx="26">
                  <c:v>135.23759999999999</c:v>
                </c:pt>
                <c:pt idx="27">
                  <c:v>110.4648</c:v>
                </c:pt>
                <c:pt idx="28">
                  <c:v>80.783500000000004</c:v>
                </c:pt>
                <c:pt idx="29">
                  <c:v>48.600299999999997</c:v>
                </c:pt>
                <c:pt idx="30">
                  <c:v>210.95939999999999</c:v>
                </c:pt>
                <c:pt idx="31">
                  <c:v>187.68119999999999</c:v>
                </c:pt>
                <c:pt idx="32">
                  <c:v>47.903100000000002</c:v>
                </c:pt>
                <c:pt idx="33">
                  <c:v>159.77500000000001</c:v>
                </c:pt>
                <c:pt idx="34">
                  <c:v>276.51960000000003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E6-4156-85A0-E0E3944F2D5D}"/>
            </c:ext>
          </c:extLst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Traffic Control Workload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Sheet1!$K$2:$K$36</c:f>
              <c:numCache>
                <c:formatCode>0.0000</c:formatCode>
                <c:ptCount val="35"/>
                <c:pt idx="0">
                  <c:v>190.59739999999999</c:v>
                </c:pt>
                <c:pt idx="1">
                  <c:v>117.98779999999999</c:v>
                </c:pt>
                <c:pt idx="2">
                  <c:v>248.28440000000001</c:v>
                </c:pt>
                <c:pt idx="3">
                  <c:v>135.27719999999999</c:v>
                </c:pt>
                <c:pt idx="4">
                  <c:v>144.947</c:v>
                </c:pt>
                <c:pt idx="5">
                  <c:v>208.89959999999999</c:v>
                </c:pt>
                <c:pt idx="6">
                  <c:v>165.31970000000001</c:v>
                </c:pt>
                <c:pt idx="7">
                  <c:v>129.61760000000001</c:v>
                </c:pt>
                <c:pt idx="8">
                  <c:v>318.16320000000002</c:v>
                </c:pt>
                <c:pt idx="9">
                  <c:v>145.36529999999999</c:v>
                </c:pt>
                <c:pt idx="10">
                  <c:v>224.4956</c:v>
                </c:pt>
                <c:pt idx="11">
                  <c:v>234.56440000000001</c:v>
                </c:pt>
                <c:pt idx="12">
                  <c:v>205.49520000000001</c:v>
                </c:pt>
                <c:pt idx="13">
                  <c:v>45.8352</c:v>
                </c:pt>
                <c:pt idx="14">
                  <c:v>174.11760000000001</c:v>
                </c:pt>
                <c:pt idx="15">
                  <c:v>133.50819999999999</c:v>
                </c:pt>
                <c:pt idx="16">
                  <c:v>139.46960000000001</c:v>
                </c:pt>
                <c:pt idx="17">
                  <c:v>244.76480000000001</c:v>
                </c:pt>
                <c:pt idx="18">
                  <c:v>97.111000000000004</c:v>
                </c:pt>
                <c:pt idx="19">
                  <c:v>219.85120000000001</c:v>
                </c:pt>
                <c:pt idx="20">
                  <c:v>65.672799999999995</c:v>
                </c:pt>
                <c:pt idx="21">
                  <c:v>81.399500000000003</c:v>
                </c:pt>
                <c:pt idx="22">
                  <c:v>86.057299999999998</c:v>
                </c:pt>
                <c:pt idx="23">
                  <c:v>117.908</c:v>
                </c:pt>
                <c:pt idx="24">
                  <c:v>41.781599999999997</c:v>
                </c:pt>
                <c:pt idx="25">
                  <c:v>60.094999999999999</c:v>
                </c:pt>
                <c:pt idx="26">
                  <c:v>24.545000000000002</c:v>
                </c:pt>
                <c:pt idx="27">
                  <c:v>64.043099999999995</c:v>
                </c:pt>
                <c:pt idx="28">
                  <c:v>91.393500000000003</c:v>
                </c:pt>
                <c:pt idx="29">
                  <c:v>157.91040000000001</c:v>
                </c:pt>
                <c:pt idx="30">
                  <c:v>57.0276</c:v>
                </c:pt>
                <c:pt idx="31">
                  <c:v>38.105400000000003</c:v>
                </c:pt>
                <c:pt idx="32">
                  <c:v>116.98399999999999</c:v>
                </c:pt>
                <c:pt idx="33">
                  <c:v>55.018599999999999</c:v>
                </c:pt>
                <c:pt idx="34">
                  <c:v>42.154699999999998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E6-4156-85A0-E0E3944F2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8037472"/>
        <c:axId val="1618037952"/>
      </c:barChart>
      <c:catAx>
        <c:axId val="161803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警員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7952"/>
        <c:crosses val="autoZero"/>
        <c:auto val="1"/>
        <c:lblAlgn val="ctr"/>
        <c:lblOffset val="100"/>
        <c:noMultiLvlLbl val="0"/>
      </c:catAx>
      <c:valAx>
        <c:axId val="161803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一週工作總負荷量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6-431C-9314-8AC645206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982752"/>
        <c:axId val="1617983712"/>
      </c:barChart>
      <c:catAx>
        <c:axId val="16179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83712"/>
        <c:crosses val="autoZero"/>
        <c:auto val="1"/>
        <c:lblAlgn val="ctr"/>
        <c:lblOffset val="100"/>
        <c:noMultiLvlLbl val="0"/>
      </c:catAx>
      <c:valAx>
        <c:axId val="16179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8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Spot Checks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Sheet1!$G$2:$G$36</c:f>
              <c:numCache>
                <c:formatCode>0.0000</c:formatCode>
                <c:ptCount val="35"/>
                <c:pt idx="0">
                  <c:v>324.4896</c:v>
                </c:pt>
                <c:pt idx="1">
                  <c:v>329.64800000000002</c:v>
                </c:pt>
                <c:pt idx="2">
                  <c:v>147.99850000000001</c:v>
                </c:pt>
                <c:pt idx="3">
                  <c:v>284.33249999999998</c:v>
                </c:pt>
                <c:pt idx="4">
                  <c:v>283.15620000000001</c:v>
                </c:pt>
                <c:pt idx="5">
                  <c:v>181.84530000000001</c:v>
                </c:pt>
                <c:pt idx="6">
                  <c:v>175.2176</c:v>
                </c:pt>
                <c:pt idx="7">
                  <c:v>224.93520000000001</c:v>
                </c:pt>
                <c:pt idx="8">
                  <c:v>101.256</c:v>
                </c:pt>
                <c:pt idx="9">
                  <c:v>192.01589999999999</c:v>
                </c:pt>
                <c:pt idx="10">
                  <c:v>231.72450000000001</c:v>
                </c:pt>
                <c:pt idx="11">
                  <c:v>217.43960000000001</c:v>
                </c:pt>
                <c:pt idx="12">
                  <c:v>158.61959999999999</c:v>
                </c:pt>
                <c:pt idx="13">
                  <c:v>88.766999999999996</c:v>
                </c:pt>
                <c:pt idx="14">
                  <c:v>227.4391</c:v>
                </c:pt>
                <c:pt idx="15">
                  <c:v>269.84719999999999</c:v>
                </c:pt>
                <c:pt idx="16">
                  <c:v>397.49759999999998</c:v>
                </c:pt>
                <c:pt idx="17">
                  <c:v>158.5385</c:v>
                </c:pt>
                <c:pt idx="18">
                  <c:v>180.7407</c:v>
                </c:pt>
                <c:pt idx="19">
                  <c:v>170.50319999999999</c:v>
                </c:pt>
                <c:pt idx="20">
                  <c:v>87.833500000000001</c:v>
                </c:pt>
                <c:pt idx="21">
                  <c:v>137.77350000000001</c:v>
                </c:pt>
                <c:pt idx="22">
                  <c:v>96.085599999999999</c:v>
                </c:pt>
                <c:pt idx="23">
                  <c:v>120.8304</c:v>
                </c:pt>
                <c:pt idx="24">
                  <c:v>221.68719999999999</c:v>
                </c:pt>
                <c:pt idx="25">
                  <c:v>193.767</c:v>
                </c:pt>
                <c:pt idx="26">
                  <c:v>39.127200000000002</c:v>
                </c:pt>
                <c:pt idx="27">
                  <c:v>191.4444</c:v>
                </c:pt>
                <c:pt idx="28">
                  <c:v>352.68209999999999</c:v>
                </c:pt>
                <c:pt idx="29">
                  <c:v>282.12169999999998</c:v>
                </c:pt>
                <c:pt idx="30">
                  <c:v>59.855600000000003</c:v>
                </c:pt>
                <c:pt idx="31">
                  <c:v>144.54900000000001</c:v>
                </c:pt>
                <c:pt idx="32">
                  <c:v>312.16149999999999</c:v>
                </c:pt>
                <c:pt idx="33">
                  <c:v>66.34</c:v>
                </c:pt>
                <c:pt idx="34">
                  <c:v>105.6159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B-4C31-BD7C-3B833A9B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873056"/>
        <c:axId val="783874976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B-4C31-BD7C-3B833A9B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873056"/>
        <c:axId val="783874976"/>
      </c:lineChart>
      <c:catAx>
        <c:axId val="78387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警員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74976"/>
        <c:crosses val="autoZero"/>
        <c:auto val="1"/>
        <c:lblAlgn val="ctr"/>
        <c:lblOffset val="100"/>
        <c:noMultiLvlLbl val="0"/>
      </c:catAx>
      <c:valAx>
        <c:axId val="7838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負荷量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On Duty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Sheet1!$H$2:$H$36</c:f>
              <c:numCache>
                <c:formatCode>0.0000</c:formatCode>
                <c:ptCount val="35"/>
                <c:pt idx="0">
                  <c:v>34.4313</c:v>
                </c:pt>
                <c:pt idx="1">
                  <c:v>41.886200000000002</c:v>
                </c:pt>
                <c:pt idx="2">
                  <c:v>75.120599999999996</c:v>
                </c:pt>
                <c:pt idx="3">
                  <c:v>25.913799999999998</c:v>
                </c:pt>
                <c:pt idx="4">
                  <c:v>38.572400000000002</c:v>
                </c:pt>
                <c:pt idx="5">
                  <c:v>26.515000000000001</c:v>
                </c:pt>
                <c:pt idx="6">
                  <c:v>43.441000000000003</c:v>
                </c:pt>
                <c:pt idx="7">
                  <c:v>126.5742</c:v>
                </c:pt>
                <c:pt idx="8">
                  <c:v>30.143000000000001</c:v>
                </c:pt>
                <c:pt idx="9">
                  <c:v>54.036299999999997</c:v>
                </c:pt>
                <c:pt idx="10">
                  <c:v>26.912400000000002</c:v>
                </c:pt>
                <c:pt idx="11">
                  <c:v>15.7493</c:v>
                </c:pt>
                <c:pt idx="12">
                  <c:v>45.9726</c:v>
                </c:pt>
                <c:pt idx="13">
                  <c:v>53.2074</c:v>
                </c:pt>
                <c:pt idx="14">
                  <c:v>13.3416</c:v>
                </c:pt>
                <c:pt idx="15">
                  <c:v>73.941000000000003</c:v>
                </c:pt>
                <c:pt idx="16">
                  <c:v>10.3066</c:v>
                </c:pt>
                <c:pt idx="17">
                  <c:v>10.680199999999999</c:v>
                </c:pt>
                <c:pt idx="18">
                  <c:v>144.19800000000001</c:v>
                </c:pt>
                <c:pt idx="19">
                  <c:v>82.782899999999998</c:v>
                </c:pt>
                <c:pt idx="20">
                  <c:v>92.548400000000001</c:v>
                </c:pt>
                <c:pt idx="21">
                  <c:v>39.821800000000003</c:v>
                </c:pt>
                <c:pt idx="22">
                  <c:v>119.8737</c:v>
                </c:pt>
                <c:pt idx="23">
                  <c:v>68.994900000000001</c:v>
                </c:pt>
                <c:pt idx="24">
                  <c:v>77.478899999999996</c:v>
                </c:pt>
                <c:pt idx="25">
                  <c:v>74.184399999999997</c:v>
                </c:pt>
                <c:pt idx="26">
                  <c:v>62.581400000000002</c:v>
                </c:pt>
                <c:pt idx="27">
                  <c:v>55.626199999999997</c:v>
                </c:pt>
                <c:pt idx="28">
                  <c:v>33.780999999999999</c:v>
                </c:pt>
                <c:pt idx="29">
                  <c:v>21.125299999999999</c:v>
                </c:pt>
                <c:pt idx="30">
                  <c:v>35.830399999999997</c:v>
                </c:pt>
                <c:pt idx="31">
                  <c:v>54.9512</c:v>
                </c:pt>
                <c:pt idx="32">
                  <c:v>59.918399999999998</c:v>
                </c:pt>
                <c:pt idx="33">
                  <c:v>35.422400000000003</c:v>
                </c:pt>
                <c:pt idx="34">
                  <c:v>54.49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0-4B82-8B87-EFC06B8F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146944"/>
        <c:axId val="1371141664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0-4B82-8B87-EFC06B8F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146944"/>
        <c:axId val="1371141664"/>
      </c:lineChart>
      <c:catAx>
        <c:axId val="13711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41664"/>
        <c:crosses val="autoZero"/>
        <c:auto val="1"/>
        <c:lblAlgn val="ctr"/>
        <c:lblOffset val="100"/>
        <c:noMultiLvlLbl val="0"/>
      </c:catAx>
      <c:valAx>
        <c:axId val="13711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4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Patrol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Sheet1!$I$2:$I$36</c:f>
              <c:numCache>
                <c:formatCode>0.0000</c:formatCode>
                <c:ptCount val="35"/>
                <c:pt idx="0">
                  <c:v>42.357700000000001</c:v>
                </c:pt>
                <c:pt idx="1">
                  <c:v>30.242999999999999</c:v>
                </c:pt>
                <c:pt idx="2">
                  <c:v>46.239199999999997</c:v>
                </c:pt>
                <c:pt idx="3">
                  <c:v>36.6233</c:v>
                </c:pt>
                <c:pt idx="4">
                  <c:v>83.251199999999997</c:v>
                </c:pt>
                <c:pt idx="5">
                  <c:v>124.5048</c:v>
                </c:pt>
                <c:pt idx="6">
                  <c:v>105.8841</c:v>
                </c:pt>
                <c:pt idx="7">
                  <c:v>79.558499999999995</c:v>
                </c:pt>
                <c:pt idx="8">
                  <c:v>46.884599999999999</c:v>
                </c:pt>
                <c:pt idx="9">
                  <c:v>72.971500000000006</c:v>
                </c:pt>
                <c:pt idx="10">
                  <c:v>84.002399999999994</c:v>
                </c:pt>
                <c:pt idx="11">
                  <c:v>85.86</c:v>
                </c:pt>
                <c:pt idx="12">
                  <c:v>32.197200000000002</c:v>
                </c:pt>
                <c:pt idx="13">
                  <c:v>172.0188</c:v>
                </c:pt>
                <c:pt idx="14">
                  <c:v>109.03060000000001</c:v>
                </c:pt>
                <c:pt idx="15">
                  <c:v>85.785700000000006</c:v>
                </c:pt>
                <c:pt idx="16">
                  <c:v>49.642800000000001</c:v>
                </c:pt>
                <c:pt idx="17">
                  <c:v>218.70240000000001</c:v>
                </c:pt>
                <c:pt idx="18">
                  <c:v>186.6525</c:v>
                </c:pt>
                <c:pt idx="19">
                  <c:v>136.83240000000001</c:v>
                </c:pt>
                <c:pt idx="20">
                  <c:v>176.12559999999999</c:v>
                </c:pt>
                <c:pt idx="21">
                  <c:v>333.15300000000002</c:v>
                </c:pt>
                <c:pt idx="22">
                  <c:v>179.34389999999999</c:v>
                </c:pt>
                <c:pt idx="23">
                  <c:v>213.15770000000001</c:v>
                </c:pt>
                <c:pt idx="24">
                  <c:v>92.670599999999993</c:v>
                </c:pt>
                <c:pt idx="25">
                  <c:v>102.80159999999999</c:v>
                </c:pt>
                <c:pt idx="26">
                  <c:v>327.32819999999998</c:v>
                </c:pt>
                <c:pt idx="27">
                  <c:v>96.777500000000003</c:v>
                </c:pt>
                <c:pt idx="28">
                  <c:v>98.723799999999997</c:v>
                </c:pt>
                <c:pt idx="29">
                  <c:v>83.229299999999995</c:v>
                </c:pt>
                <c:pt idx="30">
                  <c:v>110.80889999999999</c:v>
                </c:pt>
                <c:pt idx="31">
                  <c:v>131.8261</c:v>
                </c:pt>
                <c:pt idx="32">
                  <c:v>78.680800000000005</c:v>
                </c:pt>
                <c:pt idx="33">
                  <c:v>179.2021</c:v>
                </c:pt>
                <c:pt idx="34">
                  <c:v>77.474999999999994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E-46C3-9052-329C47D6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032224"/>
        <c:axId val="1371021664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E-46C3-9052-329C47D6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032224"/>
        <c:axId val="1371021664"/>
      </c:lineChart>
      <c:catAx>
        <c:axId val="137103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21664"/>
        <c:crosses val="autoZero"/>
        <c:auto val="1"/>
        <c:lblAlgn val="ctr"/>
        <c:lblOffset val="100"/>
        <c:noMultiLvlLbl val="0"/>
      </c:catAx>
      <c:valAx>
        <c:axId val="13710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3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Standby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Sheet1!$J$2:$J$36</c:f>
              <c:numCache>
                <c:formatCode>0.0000</c:formatCode>
                <c:ptCount val="35"/>
                <c:pt idx="0">
                  <c:v>73.412000000000006</c:v>
                </c:pt>
                <c:pt idx="1">
                  <c:v>111.685</c:v>
                </c:pt>
                <c:pt idx="2">
                  <c:v>66.5244</c:v>
                </c:pt>
                <c:pt idx="3">
                  <c:v>131.1952</c:v>
                </c:pt>
                <c:pt idx="4">
                  <c:v>59.1372</c:v>
                </c:pt>
                <c:pt idx="5">
                  <c:v>65.2928</c:v>
                </c:pt>
                <c:pt idx="6">
                  <c:v>105.8034</c:v>
                </c:pt>
                <c:pt idx="7">
                  <c:v>65.435599999999994</c:v>
                </c:pt>
                <c:pt idx="8">
                  <c:v>64.390799999999999</c:v>
                </c:pt>
                <c:pt idx="9">
                  <c:v>119.6272</c:v>
                </c:pt>
                <c:pt idx="10">
                  <c:v>65.215199999999996</c:v>
                </c:pt>
                <c:pt idx="11">
                  <c:v>60.8322</c:v>
                </c:pt>
                <c:pt idx="12">
                  <c:v>190.30199999999999</c:v>
                </c:pt>
                <c:pt idx="13">
                  <c:v>190.5701</c:v>
                </c:pt>
                <c:pt idx="14">
                  <c:v>117.78619999999999</c:v>
                </c:pt>
                <c:pt idx="15">
                  <c:v>51.472000000000001</c:v>
                </c:pt>
                <c:pt idx="16">
                  <c:v>118.9188</c:v>
                </c:pt>
                <c:pt idx="17">
                  <c:v>35.131599999999999</c:v>
                </c:pt>
                <c:pt idx="18">
                  <c:v>4.0365000000000002</c:v>
                </c:pt>
                <c:pt idx="19">
                  <c:v>12.696400000000001</c:v>
                </c:pt>
                <c:pt idx="20">
                  <c:v>41.540100000000002</c:v>
                </c:pt>
                <c:pt idx="21">
                  <c:v>27.222300000000001</c:v>
                </c:pt>
                <c:pt idx="22">
                  <c:v>26.597899999999999</c:v>
                </c:pt>
                <c:pt idx="23">
                  <c:v>57.260399999999997</c:v>
                </c:pt>
                <c:pt idx="24">
                  <c:v>128.97499999999999</c:v>
                </c:pt>
                <c:pt idx="25">
                  <c:v>64.245999999999995</c:v>
                </c:pt>
                <c:pt idx="26">
                  <c:v>135.23759999999999</c:v>
                </c:pt>
                <c:pt idx="27">
                  <c:v>110.4648</c:v>
                </c:pt>
                <c:pt idx="28">
                  <c:v>80.783500000000004</c:v>
                </c:pt>
                <c:pt idx="29">
                  <c:v>48.600299999999997</c:v>
                </c:pt>
                <c:pt idx="30">
                  <c:v>210.95939999999999</c:v>
                </c:pt>
                <c:pt idx="31">
                  <c:v>187.68119999999999</c:v>
                </c:pt>
                <c:pt idx="32">
                  <c:v>47.903100000000002</c:v>
                </c:pt>
                <c:pt idx="33">
                  <c:v>159.77500000000001</c:v>
                </c:pt>
                <c:pt idx="34">
                  <c:v>276.51960000000003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3-4814-8D5D-4DCC1FA9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017344"/>
        <c:axId val="1371030304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3-4814-8D5D-4DCC1FA9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017344"/>
        <c:axId val="1371030304"/>
      </c:lineChart>
      <c:catAx>
        <c:axId val="137101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30304"/>
        <c:crosses val="autoZero"/>
        <c:auto val="1"/>
        <c:lblAlgn val="ctr"/>
        <c:lblOffset val="100"/>
        <c:noMultiLvlLbl val="0"/>
      </c:catAx>
      <c:valAx>
        <c:axId val="13710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Traffic Control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Sheet1!$K$2:$K$36</c:f>
              <c:numCache>
                <c:formatCode>0.0000</c:formatCode>
                <c:ptCount val="35"/>
                <c:pt idx="0">
                  <c:v>190.59739999999999</c:v>
                </c:pt>
                <c:pt idx="1">
                  <c:v>117.98779999999999</c:v>
                </c:pt>
                <c:pt idx="2">
                  <c:v>248.28440000000001</c:v>
                </c:pt>
                <c:pt idx="3">
                  <c:v>135.27719999999999</c:v>
                </c:pt>
                <c:pt idx="4">
                  <c:v>144.947</c:v>
                </c:pt>
                <c:pt idx="5">
                  <c:v>208.89959999999999</c:v>
                </c:pt>
                <c:pt idx="6">
                  <c:v>165.31970000000001</c:v>
                </c:pt>
                <c:pt idx="7">
                  <c:v>129.61760000000001</c:v>
                </c:pt>
                <c:pt idx="8">
                  <c:v>318.16320000000002</c:v>
                </c:pt>
                <c:pt idx="9">
                  <c:v>145.36529999999999</c:v>
                </c:pt>
                <c:pt idx="10">
                  <c:v>224.4956</c:v>
                </c:pt>
                <c:pt idx="11">
                  <c:v>234.56440000000001</c:v>
                </c:pt>
                <c:pt idx="12">
                  <c:v>205.49520000000001</c:v>
                </c:pt>
                <c:pt idx="13">
                  <c:v>45.8352</c:v>
                </c:pt>
                <c:pt idx="14">
                  <c:v>174.11760000000001</c:v>
                </c:pt>
                <c:pt idx="15">
                  <c:v>133.50819999999999</c:v>
                </c:pt>
                <c:pt idx="16">
                  <c:v>139.46960000000001</c:v>
                </c:pt>
                <c:pt idx="17">
                  <c:v>244.76480000000001</c:v>
                </c:pt>
                <c:pt idx="18">
                  <c:v>97.111000000000004</c:v>
                </c:pt>
                <c:pt idx="19">
                  <c:v>219.85120000000001</c:v>
                </c:pt>
                <c:pt idx="20">
                  <c:v>65.672799999999995</c:v>
                </c:pt>
                <c:pt idx="21">
                  <c:v>81.399500000000003</c:v>
                </c:pt>
                <c:pt idx="22">
                  <c:v>86.057299999999998</c:v>
                </c:pt>
                <c:pt idx="23">
                  <c:v>117.908</c:v>
                </c:pt>
                <c:pt idx="24">
                  <c:v>41.781599999999997</c:v>
                </c:pt>
                <c:pt idx="25">
                  <c:v>60.094999999999999</c:v>
                </c:pt>
                <c:pt idx="26">
                  <c:v>24.545000000000002</c:v>
                </c:pt>
                <c:pt idx="27">
                  <c:v>64.043099999999995</c:v>
                </c:pt>
                <c:pt idx="28">
                  <c:v>91.393500000000003</c:v>
                </c:pt>
                <c:pt idx="29">
                  <c:v>157.91040000000001</c:v>
                </c:pt>
                <c:pt idx="30">
                  <c:v>57.0276</c:v>
                </c:pt>
                <c:pt idx="31">
                  <c:v>38.105400000000003</c:v>
                </c:pt>
                <c:pt idx="32">
                  <c:v>116.98399999999999</c:v>
                </c:pt>
                <c:pt idx="33">
                  <c:v>55.018599999999999</c:v>
                </c:pt>
                <c:pt idx="34">
                  <c:v>42.154699999999998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8-46E6-AC33-57F16B81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087904"/>
        <c:axId val="1371086464"/>
      </c:barChart>
      <c:lineChart>
        <c:grouping val="standard"/>
        <c:varyColors val="0"/>
        <c:ser>
          <c:idx val="1"/>
          <c:order val="1"/>
          <c:tx>
            <c:strRef>
              <c:f>Sheet1!$L$1</c:f>
              <c:strCache>
                <c:ptCount val="1"/>
                <c:pt idx="0">
                  <c:v>Total Workload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Sheet1!$L$2:$L$36</c:f>
              <c:numCache>
                <c:formatCode>0.0000</c:formatCode>
                <c:ptCount val="35"/>
                <c:pt idx="0">
                  <c:v>665.28800000000001</c:v>
                </c:pt>
                <c:pt idx="1">
                  <c:v>631.45000000000005</c:v>
                </c:pt>
                <c:pt idx="2">
                  <c:v>584.1671</c:v>
                </c:pt>
                <c:pt idx="3">
                  <c:v>613.34199999999998</c:v>
                </c:pt>
                <c:pt idx="4">
                  <c:v>609.06400000000008</c:v>
                </c:pt>
                <c:pt idx="5">
                  <c:v>607.0575</c:v>
                </c:pt>
                <c:pt idx="6">
                  <c:v>595.66579999999999</c:v>
                </c:pt>
                <c:pt idx="7">
                  <c:v>626.12110000000007</c:v>
                </c:pt>
                <c:pt idx="8">
                  <c:v>560.83760000000007</c:v>
                </c:pt>
                <c:pt idx="9">
                  <c:v>584.01620000000003</c:v>
                </c:pt>
                <c:pt idx="10">
                  <c:v>632.3501</c:v>
                </c:pt>
                <c:pt idx="11">
                  <c:v>614.44550000000004</c:v>
                </c:pt>
                <c:pt idx="12">
                  <c:v>632.58660000000009</c:v>
                </c:pt>
                <c:pt idx="13">
                  <c:v>550.39850000000001</c:v>
                </c:pt>
                <c:pt idx="14">
                  <c:v>641.71510000000001</c:v>
                </c:pt>
                <c:pt idx="15">
                  <c:v>614.55409999999995</c:v>
                </c:pt>
                <c:pt idx="16">
                  <c:v>715.83540000000005</c:v>
                </c:pt>
                <c:pt idx="17">
                  <c:v>667.8175</c:v>
                </c:pt>
                <c:pt idx="18">
                  <c:v>612.73870000000011</c:v>
                </c:pt>
                <c:pt idx="19">
                  <c:v>622.66609999999991</c:v>
                </c:pt>
                <c:pt idx="20">
                  <c:v>463.72039999999998</c:v>
                </c:pt>
                <c:pt idx="21">
                  <c:v>619.37009999999998</c:v>
                </c:pt>
                <c:pt idx="22">
                  <c:v>507.95839999999993</c:v>
                </c:pt>
                <c:pt idx="23">
                  <c:v>578.15139999999997</c:v>
                </c:pt>
                <c:pt idx="24">
                  <c:v>562.5933</c:v>
                </c:pt>
                <c:pt idx="25">
                  <c:v>495.09399999999994</c:v>
                </c:pt>
                <c:pt idx="26">
                  <c:v>588.81939999999997</c:v>
                </c:pt>
                <c:pt idx="27">
                  <c:v>518.35599999999999</c:v>
                </c:pt>
                <c:pt idx="28">
                  <c:v>657.36389999999994</c:v>
                </c:pt>
                <c:pt idx="29">
                  <c:v>592.98699999999997</c:v>
                </c:pt>
                <c:pt idx="30">
                  <c:v>474.4819</c:v>
                </c:pt>
                <c:pt idx="31">
                  <c:v>557.11289999999997</c:v>
                </c:pt>
                <c:pt idx="32">
                  <c:v>615.64780000000007</c:v>
                </c:pt>
                <c:pt idx="33">
                  <c:v>495.75810000000001</c:v>
                </c:pt>
                <c:pt idx="34">
                  <c:v>556.25520000000006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8-46E6-AC33-57F16B81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087904"/>
        <c:axId val="1371086464"/>
      </c:lineChart>
      <c:catAx>
        <c:axId val="137108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86464"/>
        <c:crosses val="autoZero"/>
        <c:auto val="1"/>
        <c:lblAlgn val="ctr"/>
        <c:lblOffset val="100"/>
        <c:noMultiLvlLbl val="0"/>
      </c:catAx>
      <c:valAx>
        <c:axId val="13710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8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zh-TW" alt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  <a:ea typeface="新細明體" panose="02020500000000000000" pitchFamily="18" charset="-120"/>
          </a:endParaRPr>
        </a:p>
      </cx:txPr>
    </cx:title>
    <cx:plotArea>
      <cx:plotAreaRegion>
        <cx:series layoutId="clusteredColumn" uniqueId="{612FE070-4790-447D-8B00-385B3030070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總負荷量分布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新細明體" panose="02020500000000000000" pitchFamily="18" charset="-120"/>
            </a:rPr>
            <a:t>總負荷量分布</a:t>
          </a:r>
        </a:p>
      </cx:txPr>
    </cx:title>
    <cx:plotArea>
      <cx:plotAreaRegion>
        <cx:series layoutId="boxWhisker" uniqueId="{442B0A59-6C71-4CDC-805D-DB307B78979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2.xml"/><Relationship Id="rId21" Type="http://schemas.openxmlformats.org/officeDocument/2006/relationships/chart" Target="../charts/chart19.xml"/><Relationship Id="rId7" Type="http://schemas.openxmlformats.org/officeDocument/2006/relationships/chart" Target="../charts/chart6.xml"/><Relationship Id="rId12" Type="http://schemas.microsoft.com/office/2014/relationships/chartEx" Target="../charts/chartEx2.xml"/><Relationship Id="rId17" Type="http://schemas.openxmlformats.org/officeDocument/2006/relationships/chart" Target="../charts/chart15.xml"/><Relationship Id="rId2" Type="http://schemas.openxmlformats.org/officeDocument/2006/relationships/chart" Target="../charts/chart1.xml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3.xml"/><Relationship Id="rId10" Type="http://schemas.openxmlformats.org/officeDocument/2006/relationships/chart" Target="../charts/chart9.xml"/><Relationship Id="rId19" Type="http://schemas.openxmlformats.org/officeDocument/2006/relationships/chart" Target="../charts/chart17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114158</xdr:colOff>
      <xdr:row>29</xdr:row>
      <xdr:rowOff>26692</xdr:rowOff>
    </xdr:from>
    <xdr:to>
      <xdr:col>22</xdr:col>
      <xdr:colOff>329411</xdr:colOff>
      <xdr:row>42</xdr:row>
      <xdr:rowOff>185719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58C5FFF5-F147-345D-9F68-513592CCDF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87158" y="5560717"/>
              <a:ext cx="5701653" cy="26355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131195</xdr:colOff>
      <xdr:row>0</xdr:row>
      <xdr:rowOff>67585</xdr:rowOff>
    </xdr:from>
    <xdr:to>
      <xdr:col>21</xdr:col>
      <xdr:colOff>123244</xdr:colOff>
      <xdr:row>14</xdr:row>
      <xdr:rowOff>27828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A9E7D979-7513-1B81-EB87-C71975390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250465</xdr:colOff>
      <xdr:row>0</xdr:row>
      <xdr:rowOff>67586</xdr:rowOff>
    </xdr:from>
    <xdr:to>
      <xdr:col>29</xdr:col>
      <xdr:colOff>242514</xdr:colOff>
      <xdr:row>14</xdr:row>
      <xdr:rowOff>27829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D8CA2097-AA7F-4E99-B870-AF6AD7004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123244</xdr:colOff>
      <xdr:row>14</xdr:row>
      <xdr:rowOff>178903</xdr:rowOff>
    </xdr:from>
    <xdr:to>
      <xdr:col>21</xdr:col>
      <xdr:colOff>115293</xdr:colOff>
      <xdr:row>28</xdr:row>
      <xdr:rowOff>139147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F2A55707-5AE7-F479-E8D5-C6B5B4E3A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258416</xdr:colOff>
      <xdr:row>14</xdr:row>
      <xdr:rowOff>170953</xdr:rowOff>
    </xdr:from>
    <xdr:to>
      <xdr:col>29</xdr:col>
      <xdr:colOff>250465</xdr:colOff>
      <xdr:row>28</xdr:row>
      <xdr:rowOff>131197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9616AA97-77BE-CB16-17BC-CFAD68CBB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448112</xdr:colOff>
      <xdr:row>28</xdr:row>
      <xdr:rowOff>197077</xdr:rowOff>
    </xdr:from>
    <xdr:to>
      <xdr:col>30</xdr:col>
      <xdr:colOff>440162</xdr:colOff>
      <xdr:row>42</xdr:row>
      <xdr:rowOff>151641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FADAE5D6-2EEE-7AEC-0D68-D5D3C2D39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333318</xdr:colOff>
      <xdr:row>70</xdr:row>
      <xdr:rowOff>7042</xdr:rowOff>
    </xdr:from>
    <xdr:to>
      <xdr:col>6</xdr:col>
      <xdr:colOff>772177</xdr:colOff>
      <xdr:row>83</xdr:row>
      <xdr:rowOff>163730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D0640086-0F32-4D67-3B19-7D9BF4815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98190</xdr:colOff>
      <xdr:row>70</xdr:row>
      <xdr:rowOff>19174</xdr:rowOff>
    </xdr:from>
    <xdr:to>
      <xdr:col>11</xdr:col>
      <xdr:colOff>103868</xdr:colOff>
      <xdr:row>83</xdr:row>
      <xdr:rowOff>148966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79A91871-9E16-DDA9-F34D-11D1E8950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335592</xdr:colOff>
      <xdr:row>84</xdr:row>
      <xdr:rowOff>175090</xdr:rowOff>
    </xdr:from>
    <xdr:to>
      <xdr:col>6</xdr:col>
      <xdr:colOff>775587</xdr:colOff>
      <xdr:row>98</xdr:row>
      <xdr:rowOff>63838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0D8101BD-EF89-B60D-51D1-E539BB095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98190</xdr:colOff>
      <xdr:row>84</xdr:row>
      <xdr:rowOff>183043</xdr:rowOff>
    </xdr:from>
    <xdr:to>
      <xdr:col>11</xdr:col>
      <xdr:colOff>103868</xdr:colOff>
      <xdr:row>98</xdr:row>
      <xdr:rowOff>69452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FDDBA2C1-2A38-AB1D-22BD-1664D2315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381027</xdr:colOff>
      <xdr:row>99</xdr:row>
      <xdr:rowOff>129128</xdr:rowOff>
    </xdr:from>
    <xdr:to>
      <xdr:col>6</xdr:col>
      <xdr:colOff>789618</xdr:colOff>
      <xdr:row>113</xdr:row>
      <xdr:rowOff>17876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FC11E724-6B5D-4659-5301-6F90E3ACD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553083</xdr:colOff>
      <xdr:row>44</xdr:row>
      <xdr:rowOff>153180</xdr:rowOff>
    </xdr:from>
    <xdr:to>
      <xdr:col>28</xdr:col>
      <xdr:colOff>560098</xdr:colOff>
      <xdr:row>58</xdr:row>
      <xdr:rowOff>146163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圖表 1">
              <a:extLst>
                <a:ext uri="{FF2B5EF4-FFF2-40B4-BE49-F238E27FC236}">
                  <a16:creationId xmlns:a16="http://schemas.microsoft.com/office/drawing/2014/main" id="{8478CF36-F073-3773-B573-92887A0208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93283" y="8544705"/>
              <a:ext cx="4883815" cy="26599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231311</xdr:colOff>
      <xdr:row>29</xdr:row>
      <xdr:rowOff>130112</xdr:rowOff>
    </xdr:from>
    <xdr:to>
      <xdr:col>15</xdr:col>
      <xdr:colOff>231311</xdr:colOff>
      <xdr:row>42</xdr:row>
      <xdr:rowOff>173483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76B44966-B87B-34D6-C385-7C96740902F7}"/>
            </a:ext>
          </a:extLst>
        </xdr:cNvPr>
        <xdr:cNvCxnSpPr/>
      </xdr:nvCxnSpPr>
      <xdr:spPr>
        <a:xfrm>
          <a:off x="12201638" y="5999620"/>
          <a:ext cx="0" cy="267453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535577</xdr:colOff>
      <xdr:row>29</xdr:row>
      <xdr:rowOff>131505</xdr:rowOff>
    </xdr:from>
    <xdr:to>
      <xdr:col>18</xdr:col>
      <xdr:colOff>535577</xdr:colOff>
      <xdr:row>42</xdr:row>
      <xdr:rowOff>174876</xdr:rowOff>
    </xdr:to>
    <xdr:cxnSp macro="">
      <xdr:nvCxnSpPr>
        <xdr:cNvPr id="18" name="直線接點 17">
          <a:extLst>
            <a:ext uri="{FF2B5EF4-FFF2-40B4-BE49-F238E27FC236}">
              <a16:creationId xmlns:a16="http://schemas.microsoft.com/office/drawing/2014/main" id="{78E4013C-EC3D-44A1-A6DE-73B2B4CB629C}"/>
            </a:ext>
          </a:extLst>
        </xdr:cNvPr>
        <xdr:cNvCxnSpPr/>
      </xdr:nvCxnSpPr>
      <xdr:spPr>
        <a:xfrm>
          <a:off x="14219049" y="6001013"/>
          <a:ext cx="0" cy="267453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340103</xdr:colOff>
      <xdr:row>62</xdr:row>
      <xdr:rowOff>157021</xdr:rowOff>
    </xdr:from>
    <xdr:to>
      <xdr:col>37</xdr:col>
      <xdr:colOff>461709</xdr:colOff>
      <xdr:row>86</xdr:row>
      <xdr:rowOff>111584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9A4125F-53BC-6F74-143B-6DAB572CC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187940</xdr:colOff>
      <xdr:row>22</xdr:row>
      <xdr:rowOff>130113</xdr:rowOff>
    </xdr:from>
    <xdr:to>
      <xdr:col>43</xdr:col>
      <xdr:colOff>452035</xdr:colOff>
      <xdr:row>42</xdr:row>
      <xdr:rowOff>258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F9C926C-31AC-E61A-BD67-4030C5883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22719</xdr:colOff>
      <xdr:row>0</xdr:row>
      <xdr:rowOff>161864</xdr:rowOff>
    </xdr:from>
    <xdr:to>
      <xdr:col>44</xdr:col>
      <xdr:colOff>218661</xdr:colOff>
      <xdr:row>21</xdr:row>
      <xdr:rowOff>102231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4CEBFC95-5E04-F40D-204C-39C9CF48A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440160</xdr:colOff>
      <xdr:row>44</xdr:row>
      <xdr:rowOff>116430</xdr:rowOff>
    </xdr:from>
    <xdr:to>
      <xdr:col>37</xdr:col>
      <xdr:colOff>468557</xdr:colOff>
      <xdr:row>57</xdr:row>
      <xdr:rowOff>201623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27064DD6-088B-6724-8440-F8C25C849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150839</xdr:colOff>
      <xdr:row>41</xdr:row>
      <xdr:rowOff>87696</xdr:rowOff>
    </xdr:from>
    <xdr:to>
      <xdr:col>6</xdr:col>
      <xdr:colOff>541389</xdr:colOff>
      <xdr:row>55</xdr:row>
      <xdr:rowOff>80680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0D16A38B-B197-7C52-E15B-4013A9B14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707432</xdr:colOff>
      <xdr:row>41</xdr:row>
      <xdr:rowOff>162533</xdr:rowOff>
    </xdr:from>
    <xdr:to>
      <xdr:col>11</xdr:col>
      <xdr:colOff>489940</xdr:colOff>
      <xdr:row>55</xdr:row>
      <xdr:rowOff>155517</xdr:rowOff>
    </xdr:to>
    <xdr:graphicFrame macro="">
      <xdr:nvGraphicFramePr>
        <xdr:cNvPr id="21" name="圖表 20">
          <a:extLst>
            <a:ext uri="{FF2B5EF4-FFF2-40B4-BE49-F238E27FC236}">
              <a16:creationId xmlns:a16="http://schemas.microsoft.com/office/drawing/2014/main" id="{CBFFDC4C-C78D-B859-B01C-90B662F3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258416</xdr:colOff>
      <xdr:row>55</xdr:row>
      <xdr:rowOff>134469</xdr:rowOff>
    </xdr:from>
    <xdr:to>
      <xdr:col>6</xdr:col>
      <xdr:colOff>648966</xdr:colOff>
      <xdr:row>69</xdr:row>
      <xdr:rowOff>127454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D5AF717D-7BD4-318B-BB96-8114B9CD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726141</xdr:colOff>
      <xdr:row>56</xdr:row>
      <xdr:rowOff>3506</xdr:rowOff>
    </xdr:from>
    <xdr:to>
      <xdr:col>11</xdr:col>
      <xdr:colOff>508649</xdr:colOff>
      <xdr:row>69</xdr:row>
      <xdr:rowOff>192935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20C6D9D9-7E9A-E8B8-290C-83A06DF90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772913</xdr:colOff>
      <xdr:row>45</xdr:row>
      <xdr:rowOff>31571</xdr:rowOff>
    </xdr:from>
    <xdr:to>
      <xdr:col>20</xdr:col>
      <xdr:colOff>499295</xdr:colOff>
      <xdr:row>59</xdr:row>
      <xdr:rowOff>24556</xdr:rowOff>
    </xdr:to>
    <xdr:graphicFrame macro="">
      <xdr:nvGraphicFramePr>
        <xdr:cNvPr id="24" name="圖表 23">
          <a:extLst>
            <a:ext uri="{FF2B5EF4-FFF2-40B4-BE49-F238E27FC236}">
              <a16:creationId xmlns:a16="http://schemas.microsoft.com/office/drawing/2014/main" id="{10E5D2D7-7F07-0CA5-2EA5-536CFA35D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5" zoomScaleNormal="85" workbookViewId="0">
      <selection activeCell="J31" sqref="J31"/>
    </sheetView>
  </sheetViews>
  <sheetFormatPr defaultRowHeight="15"/>
  <cols>
    <col min="1" max="1" width="18.140625" style="18" bestFit="1" customWidth="1"/>
    <col min="2" max="5" width="11.42578125" style="19" bestFit="1" customWidth="1"/>
    <col min="6" max="6" width="20.42578125" style="19" bestFit="1" customWidth="1"/>
    <col min="7" max="10" width="14" style="20" bestFit="1" customWidth="1"/>
    <col min="11" max="11" width="19.42578125" style="20" bestFit="1" customWidth="1"/>
    <col min="12" max="12" width="13.42578125" style="20" bestFit="1" customWidth="1"/>
    <col min="13" max="13" width="13.42578125" style="20" customWidth="1"/>
  </cols>
  <sheetData>
    <row r="1" spans="1:13" s="3" customFormat="1" ht="60">
      <c r="A1" s="5" t="s">
        <v>2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</row>
    <row r="2" spans="1:13">
      <c r="A2" s="8">
        <v>1</v>
      </c>
      <c r="B2" s="9">
        <v>8</v>
      </c>
      <c r="C2" s="9">
        <v>3</v>
      </c>
      <c r="D2" s="9">
        <v>7</v>
      </c>
      <c r="E2" s="9">
        <v>5</v>
      </c>
      <c r="F2" s="9">
        <v>7</v>
      </c>
      <c r="G2" s="10">
        <v>324.4896</v>
      </c>
      <c r="H2" s="10">
        <v>34.4313</v>
      </c>
      <c r="I2" s="10">
        <v>42.357700000000001</v>
      </c>
      <c r="J2" s="10">
        <v>73.412000000000006</v>
      </c>
      <c r="K2" s="10">
        <v>190.59739999999999</v>
      </c>
      <c r="L2" s="10">
        <f>SUM(G2:K2)</f>
        <v>665.28800000000001</v>
      </c>
      <c r="M2" s="10">
        <f>ABS(L2-$L$39)</f>
        <v>74.836951428571524</v>
      </c>
    </row>
    <row r="3" spans="1:13" s="3" customFormat="1">
      <c r="A3" s="8">
        <v>2</v>
      </c>
      <c r="B3" s="9">
        <v>8</v>
      </c>
      <c r="C3" s="9">
        <v>2</v>
      </c>
      <c r="D3" s="9">
        <v>6</v>
      </c>
      <c r="E3" s="9">
        <v>7</v>
      </c>
      <c r="F3" s="9">
        <v>7</v>
      </c>
      <c r="G3" s="10">
        <v>329.64800000000002</v>
      </c>
      <c r="H3" s="10">
        <v>41.886200000000002</v>
      </c>
      <c r="I3" s="10">
        <v>30.242999999999999</v>
      </c>
      <c r="J3" s="10">
        <v>111.685</v>
      </c>
      <c r="K3" s="10">
        <v>117.98779999999999</v>
      </c>
      <c r="L3" s="10">
        <f t="shared" ref="L3:L36" si="0">SUM(G3:K3)</f>
        <v>631.45000000000005</v>
      </c>
      <c r="M3" s="10">
        <f t="shared" ref="M3:M36" si="1">ABS(L3-$L$39)</f>
        <v>40.998951428571559</v>
      </c>
    </row>
    <row r="4" spans="1:13">
      <c r="A4" s="8">
        <v>3</v>
      </c>
      <c r="B4" s="9">
        <v>5</v>
      </c>
      <c r="C4" s="9">
        <v>6</v>
      </c>
      <c r="D4" s="9">
        <v>8</v>
      </c>
      <c r="E4" s="9">
        <v>4</v>
      </c>
      <c r="F4" s="9">
        <v>7</v>
      </c>
      <c r="G4" s="10">
        <v>147.99850000000001</v>
      </c>
      <c r="H4" s="10">
        <v>75.120599999999996</v>
      </c>
      <c r="I4" s="10">
        <v>46.239199999999997</v>
      </c>
      <c r="J4" s="10">
        <v>66.5244</v>
      </c>
      <c r="K4" s="10">
        <v>248.28440000000001</v>
      </c>
      <c r="L4" s="10">
        <f t="shared" si="0"/>
        <v>584.1671</v>
      </c>
      <c r="M4" s="10">
        <f t="shared" si="1"/>
        <v>6.283948571428482</v>
      </c>
    </row>
    <row r="5" spans="1:13">
      <c r="A5" s="8">
        <v>4</v>
      </c>
      <c r="B5" s="9">
        <v>9</v>
      </c>
      <c r="C5" s="9">
        <v>2</v>
      </c>
      <c r="D5" s="9">
        <v>7</v>
      </c>
      <c r="E5" s="9">
        <v>8</v>
      </c>
      <c r="F5" s="9">
        <v>4</v>
      </c>
      <c r="G5" s="10">
        <v>284.33249999999998</v>
      </c>
      <c r="H5" s="10">
        <v>25.913799999999998</v>
      </c>
      <c r="I5" s="10">
        <v>36.6233</v>
      </c>
      <c r="J5" s="10">
        <v>131.1952</v>
      </c>
      <c r="K5" s="10">
        <v>135.27719999999999</v>
      </c>
      <c r="L5" s="10">
        <f t="shared" si="0"/>
        <v>613.34199999999998</v>
      </c>
      <c r="M5" s="10">
        <f t="shared" si="1"/>
        <v>22.890951428571498</v>
      </c>
    </row>
    <row r="6" spans="1:13">
      <c r="A6" s="8">
        <v>5</v>
      </c>
      <c r="B6" s="9">
        <v>9</v>
      </c>
      <c r="C6" s="9">
        <v>2</v>
      </c>
      <c r="D6" s="9">
        <v>8</v>
      </c>
      <c r="E6" s="9">
        <v>6</v>
      </c>
      <c r="F6" s="9">
        <v>5</v>
      </c>
      <c r="G6" s="10">
        <v>283.15620000000001</v>
      </c>
      <c r="H6" s="10">
        <v>38.572400000000002</v>
      </c>
      <c r="I6" s="10">
        <v>83.251199999999997</v>
      </c>
      <c r="J6" s="10">
        <v>59.1372</v>
      </c>
      <c r="K6" s="10">
        <v>144.947</v>
      </c>
      <c r="L6" s="10">
        <f t="shared" si="0"/>
        <v>609.06400000000008</v>
      </c>
      <c r="M6" s="10">
        <f t="shared" si="1"/>
        <v>18.612951428571591</v>
      </c>
    </row>
    <row r="7" spans="1:13">
      <c r="A7" s="8">
        <v>6</v>
      </c>
      <c r="B7" s="9">
        <v>7</v>
      </c>
      <c r="C7" s="9">
        <v>2</v>
      </c>
      <c r="D7" s="9">
        <v>7</v>
      </c>
      <c r="E7" s="9">
        <v>8</v>
      </c>
      <c r="F7" s="9">
        <v>6</v>
      </c>
      <c r="G7" s="10">
        <v>181.84530000000001</v>
      </c>
      <c r="H7" s="10">
        <v>26.515000000000001</v>
      </c>
      <c r="I7" s="10">
        <v>124.5048</v>
      </c>
      <c r="J7" s="10">
        <v>65.2928</v>
      </c>
      <c r="K7" s="10">
        <v>208.89959999999999</v>
      </c>
      <c r="L7" s="10">
        <f t="shared" si="0"/>
        <v>607.0575</v>
      </c>
      <c r="M7" s="10">
        <f t="shared" si="1"/>
        <v>16.606451428571518</v>
      </c>
    </row>
    <row r="8" spans="1:13">
      <c r="A8" s="8">
        <v>7</v>
      </c>
      <c r="B8" s="9">
        <v>8</v>
      </c>
      <c r="C8" s="9">
        <v>2</v>
      </c>
      <c r="D8" s="9">
        <v>7</v>
      </c>
      <c r="E8" s="9">
        <v>6</v>
      </c>
      <c r="F8" s="9">
        <v>7</v>
      </c>
      <c r="G8" s="10">
        <v>175.2176</v>
      </c>
      <c r="H8" s="10">
        <v>43.441000000000003</v>
      </c>
      <c r="I8" s="10">
        <v>105.8841</v>
      </c>
      <c r="J8" s="10">
        <v>105.8034</v>
      </c>
      <c r="K8" s="10">
        <v>165.31970000000001</v>
      </c>
      <c r="L8" s="10">
        <f t="shared" si="0"/>
        <v>595.66579999999999</v>
      </c>
      <c r="M8" s="10">
        <f t="shared" si="1"/>
        <v>5.2147514285715033</v>
      </c>
    </row>
    <row r="9" spans="1:13">
      <c r="A9" s="8">
        <v>8</v>
      </c>
      <c r="B9" s="9">
        <v>8</v>
      </c>
      <c r="C9" s="9">
        <v>6</v>
      </c>
      <c r="D9" s="9">
        <v>5</v>
      </c>
      <c r="E9" s="9">
        <v>4</v>
      </c>
      <c r="F9" s="9">
        <v>7</v>
      </c>
      <c r="G9" s="10">
        <v>224.93520000000001</v>
      </c>
      <c r="H9" s="10">
        <v>126.5742</v>
      </c>
      <c r="I9" s="10">
        <v>79.558499999999995</v>
      </c>
      <c r="J9" s="10">
        <v>65.435599999999994</v>
      </c>
      <c r="K9" s="10">
        <v>129.61760000000001</v>
      </c>
      <c r="L9" s="10">
        <f t="shared" si="0"/>
        <v>626.12110000000007</v>
      </c>
      <c r="M9" s="10">
        <f t="shared" si="1"/>
        <v>35.670051428571583</v>
      </c>
    </row>
    <row r="10" spans="1:13">
      <c r="A10" s="8">
        <v>9</v>
      </c>
      <c r="B10" s="9">
        <v>8</v>
      </c>
      <c r="C10" s="9">
        <v>1</v>
      </c>
      <c r="D10" s="9">
        <v>7</v>
      </c>
      <c r="E10" s="9">
        <v>6</v>
      </c>
      <c r="F10" s="9">
        <v>8</v>
      </c>
      <c r="G10" s="10">
        <v>101.256</v>
      </c>
      <c r="H10" s="10">
        <v>30.143000000000001</v>
      </c>
      <c r="I10" s="10">
        <v>46.884599999999999</v>
      </c>
      <c r="J10" s="10">
        <v>64.390799999999999</v>
      </c>
      <c r="K10" s="10">
        <v>318.16320000000002</v>
      </c>
      <c r="L10" s="10">
        <f t="shared" si="0"/>
        <v>560.83760000000007</v>
      </c>
      <c r="M10" s="10">
        <f t="shared" si="1"/>
        <v>29.613448571428421</v>
      </c>
    </row>
    <row r="11" spans="1:13">
      <c r="A11" s="11">
        <v>10</v>
      </c>
      <c r="B11" s="12">
        <v>9</v>
      </c>
      <c r="C11" s="12">
        <v>3</v>
      </c>
      <c r="D11" s="12">
        <v>5</v>
      </c>
      <c r="E11" s="12">
        <v>4</v>
      </c>
      <c r="F11" s="12">
        <v>9</v>
      </c>
      <c r="G11" s="13">
        <v>192.01589999999999</v>
      </c>
      <c r="H11" s="13">
        <v>54.036299999999997</v>
      </c>
      <c r="I11" s="13">
        <v>72.971500000000006</v>
      </c>
      <c r="J11" s="13">
        <v>119.6272</v>
      </c>
      <c r="K11" s="13">
        <v>145.36529999999999</v>
      </c>
      <c r="L11" s="13">
        <f t="shared" si="0"/>
        <v>584.01620000000003</v>
      </c>
      <c r="M11" s="10">
        <f t="shared" si="1"/>
        <v>6.4348485714284607</v>
      </c>
    </row>
    <row r="12" spans="1:13">
      <c r="A12" s="11">
        <v>11</v>
      </c>
      <c r="B12" s="12">
        <v>7</v>
      </c>
      <c r="C12" s="12">
        <v>2</v>
      </c>
      <c r="D12" s="12">
        <v>8</v>
      </c>
      <c r="E12" s="12">
        <v>6</v>
      </c>
      <c r="F12" s="12">
        <v>7</v>
      </c>
      <c r="G12" s="13">
        <v>231.72450000000001</v>
      </c>
      <c r="H12" s="13">
        <v>26.912400000000002</v>
      </c>
      <c r="I12" s="13">
        <v>84.002399999999994</v>
      </c>
      <c r="J12" s="13">
        <v>65.215199999999996</v>
      </c>
      <c r="K12" s="13">
        <v>224.4956</v>
      </c>
      <c r="L12" s="13">
        <f t="shared" si="0"/>
        <v>632.3501</v>
      </c>
      <c r="M12" s="10">
        <f t="shared" si="1"/>
        <v>41.899051428571511</v>
      </c>
    </row>
    <row r="13" spans="1:13">
      <c r="A13" s="11">
        <v>12</v>
      </c>
      <c r="B13" s="12">
        <v>7</v>
      </c>
      <c r="C13" s="12">
        <v>1</v>
      </c>
      <c r="D13" s="12">
        <v>9</v>
      </c>
      <c r="E13" s="12">
        <v>6</v>
      </c>
      <c r="F13" s="12">
        <v>7</v>
      </c>
      <c r="G13" s="13">
        <v>217.43960000000001</v>
      </c>
      <c r="H13" s="13">
        <v>15.7493</v>
      </c>
      <c r="I13" s="13">
        <v>85.86</v>
      </c>
      <c r="J13" s="13">
        <v>60.8322</v>
      </c>
      <c r="K13" s="13">
        <v>234.56440000000001</v>
      </c>
      <c r="L13" s="13">
        <f t="shared" si="0"/>
        <v>614.44550000000004</v>
      </c>
      <c r="M13" s="10">
        <f t="shared" si="1"/>
        <v>23.994451428571551</v>
      </c>
    </row>
    <row r="14" spans="1:13">
      <c r="A14" s="11">
        <v>13</v>
      </c>
      <c r="B14" s="12">
        <v>6</v>
      </c>
      <c r="C14" s="12">
        <v>3</v>
      </c>
      <c r="D14" s="12">
        <v>6</v>
      </c>
      <c r="E14" s="12">
        <v>7</v>
      </c>
      <c r="F14" s="12">
        <v>8</v>
      </c>
      <c r="G14" s="13">
        <v>158.61959999999999</v>
      </c>
      <c r="H14" s="13">
        <v>45.9726</v>
      </c>
      <c r="I14" s="13">
        <v>32.197200000000002</v>
      </c>
      <c r="J14" s="13">
        <v>190.30199999999999</v>
      </c>
      <c r="K14" s="13">
        <v>205.49520000000001</v>
      </c>
      <c r="L14" s="13">
        <f t="shared" si="0"/>
        <v>632.58660000000009</v>
      </c>
      <c r="M14" s="10">
        <f t="shared" si="1"/>
        <v>42.135551428571603</v>
      </c>
    </row>
    <row r="15" spans="1:13">
      <c r="A15" s="11">
        <v>14</v>
      </c>
      <c r="B15" s="12">
        <v>9</v>
      </c>
      <c r="C15" s="12">
        <v>2</v>
      </c>
      <c r="D15" s="12">
        <v>6</v>
      </c>
      <c r="E15" s="12">
        <v>7</v>
      </c>
      <c r="F15" s="12">
        <v>6</v>
      </c>
      <c r="G15" s="13">
        <v>88.766999999999996</v>
      </c>
      <c r="H15" s="13">
        <v>53.2074</v>
      </c>
      <c r="I15" s="13">
        <v>172.0188</v>
      </c>
      <c r="J15" s="13">
        <v>190.5701</v>
      </c>
      <c r="K15" s="13">
        <v>45.8352</v>
      </c>
      <c r="L15" s="13">
        <f t="shared" si="0"/>
        <v>550.39850000000001</v>
      </c>
      <c r="M15" s="10">
        <f t="shared" si="1"/>
        <v>40.052548571428474</v>
      </c>
    </row>
    <row r="16" spans="1:13">
      <c r="A16" s="11">
        <v>15</v>
      </c>
      <c r="B16" s="12">
        <v>7</v>
      </c>
      <c r="C16" s="12">
        <v>1</v>
      </c>
      <c r="D16" s="12">
        <v>7</v>
      </c>
      <c r="E16" s="12">
        <v>7</v>
      </c>
      <c r="F16" s="12">
        <v>8</v>
      </c>
      <c r="G16" s="13">
        <v>227.4391</v>
      </c>
      <c r="H16" s="13">
        <v>13.3416</v>
      </c>
      <c r="I16" s="13">
        <v>109.03060000000001</v>
      </c>
      <c r="J16" s="13">
        <v>117.78619999999999</v>
      </c>
      <c r="K16" s="13">
        <v>174.11760000000001</v>
      </c>
      <c r="L16" s="13">
        <f t="shared" si="0"/>
        <v>641.71510000000001</v>
      </c>
      <c r="M16" s="10">
        <f t="shared" si="1"/>
        <v>51.26405142857152</v>
      </c>
    </row>
    <row r="17" spans="1:13">
      <c r="A17" s="11">
        <v>16</v>
      </c>
      <c r="B17" s="12">
        <v>8</v>
      </c>
      <c r="C17" s="12">
        <v>3</v>
      </c>
      <c r="D17" s="12">
        <v>7</v>
      </c>
      <c r="E17" s="12">
        <v>5</v>
      </c>
      <c r="F17" s="12">
        <v>7</v>
      </c>
      <c r="G17" s="13">
        <v>269.84719999999999</v>
      </c>
      <c r="H17" s="13">
        <v>73.941000000000003</v>
      </c>
      <c r="I17" s="13">
        <v>85.785700000000006</v>
      </c>
      <c r="J17" s="13">
        <v>51.472000000000001</v>
      </c>
      <c r="K17" s="13">
        <v>133.50819999999999</v>
      </c>
      <c r="L17" s="13">
        <f t="shared" si="0"/>
        <v>614.55409999999995</v>
      </c>
      <c r="M17" s="10">
        <f t="shared" si="1"/>
        <v>24.103051428571462</v>
      </c>
    </row>
    <row r="18" spans="1:13" s="1" customFormat="1">
      <c r="A18" s="8">
        <v>17</v>
      </c>
      <c r="B18" s="9">
        <v>9</v>
      </c>
      <c r="C18" s="9">
        <v>1</v>
      </c>
      <c r="D18" s="9">
        <v>6</v>
      </c>
      <c r="E18" s="9">
        <v>6</v>
      </c>
      <c r="F18" s="9">
        <v>8</v>
      </c>
      <c r="G18" s="10">
        <v>397.49759999999998</v>
      </c>
      <c r="H18" s="10">
        <v>10.3066</v>
      </c>
      <c r="I18" s="10">
        <v>49.642800000000001</v>
      </c>
      <c r="J18" s="10">
        <v>118.9188</v>
      </c>
      <c r="K18" s="10">
        <v>139.46960000000001</v>
      </c>
      <c r="L18" s="10">
        <f t="shared" si="0"/>
        <v>715.83540000000005</v>
      </c>
      <c r="M18" s="10">
        <f t="shared" si="1"/>
        <v>125.38435142857156</v>
      </c>
    </row>
    <row r="19" spans="1:13">
      <c r="A19" s="8">
        <v>18</v>
      </c>
      <c r="B19" s="9">
        <v>5</v>
      </c>
      <c r="C19" s="9">
        <v>2</v>
      </c>
      <c r="D19" s="9">
        <v>8</v>
      </c>
      <c r="E19" s="9">
        <v>7</v>
      </c>
      <c r="F19" s="9">
        <v>8</v>
      </c>
      <c r="G19" s="10">
        <v>158.5385</v>
      </c>
      <c r="H19" s="10">
        <v>10.680199999999999</v>
      </c>
      <c r="I19" s="10">
        <v>218.70240000000001</v>
      </c>
      <c r="J19" s="10">
        <v>35.131599999999999</v>
      </c>
      <c r="K19" s="10">
        <v>244.76480000000001</v>
      </c>
      <c r="L19" s="10">
        <f t="shared" si="0"/>
        <v>667.8175</v>
      </c>
      <c r="M19" s="10">
        <f t="shared" si="1"/>
        <v>77.366451428571509</v>
      </c>
    </row>
    <row r="20" spans="1:13">
      <c r="A20" s="8">
        <v>19</v>
      </c>
      <c r="B20" s="9">
        <v>9</v>
      </c>
      <c r="C20" s="9">
        <v>5</v>
      </c>
      <c r="D20" s="9">
        <v>5</v>
      </c>
      <c r="E20" s="9">
        <v>1</v>
      </c>
      <c r="F20" s="9">
        <v>10</v>
      </c>
      <c r="G20" s="10">
        <v>180.7407</v>
      </c>
      <c r="H20" s="10">
        <v>144.19800000000001</v>
      </c>
      <c r="I20" s="10">
        <v>186.6525</v>
      </c>
      <c r="J20" s="10">
        <v>4.0365000000000002</v>
      </c>
      <c r="K20" s="10">
        <v>97.111000000000004</v>
      </c>
      <c r="L20" s="10">
        <f t="shared" si="0"/>
        <v>612.73870000000011</v>
      </c>
      <c r="M20" s="10">
        <f t="shared" si="1"/>
        <v>22.287651428571621</v>
      </c>
    </row>
    <row r="21" spans="1:13">
      <c r="A21" s="8">
        <v>20</v>
      </c>
      <c r="B21" s="9">
        <v>9</v>
      </c>
      <c r="C21" s="9">
        <v>3</v>
      </c>
      <c r="D21" s="9">
        <v>6</v>
      </c>
      <c r="E21" s="9">
        <v>4</v>
      </c>
      <c r="F21" s="9">
        <v>8</v>
      </c>
      <c r="G21" s="10">
        <v>170.50319999999999</v>
      </c>
      <c r="H21" s="10">
        <v>82.782899999999998</v>
      </c>
      <c r="I21" s="10">
        <v>136.83240000000001</v>
      </c>
      <c r="J21" s="10">
        <v>12.696400000000001</v>
      </c>
      <c r="K21" s="10">
        <v>219.85120000000001</v>
      </c>
      <c r="L21" s="10">
        <f t="shared" si="0"/>
        <v>622.66609999999991</v>
      </c>
      <c r="M21" s="10">
        <f t="shared" si="1"/>
        <v>32.215051428571428</v>
      </c>
    </row>
    <row r="22" spans="1:13" s="4" customFormat="1">
      <c r="A22" s="8">
        <v>21</v>
      </c>
      <c r="B22" s="9">
        <v>5</v>
      </c>
      <c r="C22" s="9">
        <v>2</v>
      </c>
      <c r="D22" s="9">
        <v>8</v>
      </c>
      <c r="E22" s="9">
        <v>7</v>
      </c>
      <c r="F22" s="9">
        <v>8</v>
      </c>
      <c r="G22" s="10">
        <v>87.833500000000001</v>
      </c>
      <c r="H22" s="10">
        <v>92.548400000000001</v>
      </c>
      <c r="I22" s="10">
        <v>176.12559999999999</v>
      </c>
      <c r="J22" s="10">
        <v>41.540100000000002</v>
      </c>
      <c r="K22" s="10">
        <v>65.672799999999995</v>
      </c>
      <c r="L22" s="10">
        <f t="shared" si="0"/>
        <v>463.72039999999998</v>
      </c>
      <c r="M22" s="10">
        <f t="shared" si="1"/>
        <v>126.7306485714285</v>
      </c>
    </row>
    <row r="23" spans="1:13" s="2" customFormat="1">
      <c r="A23" s="11">
        <v>22</v>
      </c>
      <c r="B23" s="12">
        <v>5</v>
      </c>
      <c r="C23" s="12">
        <v>2</v>
      </c>
      <c r="D23" s="12">
        <v>9</v>
      </c>
      <c r="E23" s="12">
        <v>7</v>
      </c>
      <c r="F23" s="12">
        <v>7</v>
      </c>
      <c r="G23" s="13">
        <v>137.77350000000001</v>
      </c>
      <c r="H23" s="13">
        <v>39.821800000000003</v>
      </c>
      <c r="I23" s="13">
        <v>333.15300000000002</v>
      </c>
      <c r="J23" s="13">
        <v>27.222300000000001</v>
      </c>
      <c r="K23" s="13">
        <v>81.399500000000003</v>
      </c>
      <c r="L23" s="13">
        <f t="shared" si="0"/>
        <v>619.37009999999998</v>
      </c>
      <c r="M23" s="10">
        <f t="shared" si="1"/>
        <v>28.919051428571493</v>
      </c>
    </row>
    <row r="24" spans="1:13">
      <c r="A24" s="11">
        <v>23</v>
      </c>
      <c r="B24" s="12">
        <v>4</v>
      </c>
      <c r="C24" s="12">
        <v>3</v>
      </c>
      <c r="D24" s="12">
        <v>9</v>
      </c>
      <c r="E24" s="12">
        <v>7</v>
      </c>
      <c r="F24" s="12">
        <v>7</v>
      </c>
      <c r="G24" s="13">
        <v>96.085599999999999</v>
      </c>
      <c r="H24" s="13">
        <v>119.8737</v>
      </c>
      <c r="I24" s="13">
        <v>179.34389999999999</v>
      </c>
      <c r="J24" s="13">
        <v>26.597899999999999</v>
      </c>
      <c r="K24" s="13">
        <v>86.057299999999998</v>
      </c>
      <c r="L24" s="13">
        <f t="shared" si="0"/>
        <v>507.95839999999993</v>
      </c>
      <c r="M24" s="10">
        <f t="shared" si="1"/>
        <v>82.49264857142856</v>
      </c>
    </row>
    <row r="25" spans="1:13">
      <c r="A25" s="11">
        <v>24</v>
      </c>
      <c r="B25" s="12">
        <v>9</v>
      </c>
      <c r="C25" s="12">
        <v>3</v>
      </c>
      <c r="D25" s="12">
        <v>7</v>
      </c>
      <c r="E25" s="12">
        <v>6</v>
      </c>
      <c r="F25" s="12">
        <v>5</v>
      </c>
      <c r="G25" s="13">
        <v>120.8304</v>
      </c>
      <c r="H25" s="13">
        <v>68.994900000000001</v>
      </c>
      <c r="I25" s="13">
        <v>213.15770000000001</v>
      </c>
      <c r="J25" s="13">
        <v>57.260399999999997</v>
      </c>
      <c r="K25" s="13">
        <v>117.908</v>
      </c>
      <c r="L25" s="13">
        <f t="shared" si="0"/>
        <v>578.15139999999997</v>
      </c>
      <c r="M25" s="10">
        <f t="shared" si="1"/>
        <v>12.29964857142852</v>
      </c>
    </row>
    <row r="26" spans="1:13">
      <c r="A26" s="11">
        <v>25</v>
      </c>
      <c r="B26" s="12">
        <v>8</v>
      </c>
      <c r="C26" s="12">
        <v>3</v>
      </c>
      <c r="D26" s="12">
        <v>6</v>
      </c>
      <c r="E26" s="12">
        <v>5</v>
      </c>
      <c r="F26" s="12">
        <v>8</v>
      </c>
      <c r="G26" s="13">
        <v>221.68719999999999</v>
      </c>
      <c r="H26" s="13">
        <v>77.478899999999996</v>
      </c>
      <c r="I26" s="13">
        <v>92.670599999999993</v>
      </c>
      <c r="J26" s="13">
        <v>128.97499999999999</v>
      </c>
      <c r="K26" s="13">
        <v>41.781599999999997</v>
      </c>
      <c r="L26" s="13">
        <f t="shared" si="0"/>
        <v>562.5933</v>
      </c>
      <c r="M26" s="10">
        <f t="shared" si="1"/>
        <v>27.857748571428488</v>
      </c>
    </row>
    <row r="27" spans="1:13">
      <c r="A27" s="11">
        <v>26</v>
      </c>
      <c r="B27" s="12">
        <v>6</v>
      </c>
      <c r="C27" s="12">
        <v>2</v>
      </c>
      <c r="D27" s="12">
        <v>8</v>
      </c>
      <c r="E27" s="12">
        <v>7</v>
      </c>
      <c r="F27" s="12">
        <v>7</v>
      </c>
      <c r="G27" s="13">
        <v>193.767</v>
      </c>
      <c r="H27" s="13">
        <v>74.184399999999997</v>
      </c>
      <c r="I27" s="13">
        <v>102.80159999999999</v>
      </c>
      <c r="J27" s="13">
        <v>64.245999999999995</v>
      </c>
      <c r="K27" s="13">
        <v>60.094999999999999</v>
      </c>
      <c r="L27" s="13">
        <f t="shared" si="0"/>
        <v>495.09399999999994</v>
      </c>
      <c r="M27" s="10">
        <f t="shared" si="1"/>
        <v>95.35704857142855</v>
      </c>
    </row>
    <row r="28" spans="1:13">
      <c r="A28" s="11">
        <v>27</v>
      </c>
      <c r="B28" s="12">
        <v>8</v>
      </c>
      <c r="C28" s="12">
        <v>2</v>
      </c>
      <c r="D28" s="12">
        <v>9</v>
      </c>
      <c r="E28" s="12">
        <v>6</v>
      </c>
      <c r="F28" s="12">
        <v>5</v>
      </c>
      <c r="G28" s="13">
        <v>39.127200000000002</v>
      </c>
      <c r="H28" s="13">
        <v>62.581400000000002</v>
      </c>
      <c r="I28" s="13">
        <v>327.32819999999998</v>
      </c>
      <c r="J28" s="13">
        <v>135.23759999999999</v>
      </c>
      <c r="K28" s="13">
        <v>24.545000000000002</v>
      </c>
      <c r="L28" s="13">
        <f t="shared" si="0"/>
        <v>588.81939999999997</v>
      </c>
      <c r="M28" s="10">
        <f t="shared" si="1"/>
        <v>1.6316485714285136</v>
      </c>
    </row>
    <row r="29" spans="1:13">
      <c r="A29" s="11">
        <v>28</v>
      </c>
      <c r="B29" s="12">
        <v>6</v>
      </c>
      <c r="C29" s="12">
        <v>2</v>
      </c>
      <c r="D29" s="12">
        <v>5</v>
      </c>
      <c r="E29" s="12">
        <v>8</v>
      </c>
      <c r="F29" s="12">
        <v>9</v>
      </c>
      <c r="G29" s="13">
        <v>191.4444</v>
      </c>
      <c r="H29" s="13">
        <v>55.626199999999997</v>
      </c>
      <c r="I29" s="13">
        <v>96.777500000000003</v>
      </c>
      <c r="J29" s="13">
        <v>110.4648</v>
      </c>
      <c r="K29" s="13">
        <v>64.043099999999995</v>
      </c>
      <c r="L29" s="13">
        <f t="shared" si="0"/>
        <v>518.35599999999999</v>
      </c>
      <c r="M29" s="10">
        <f t="shared" si="1"/>
        <v>72.095048571428492</v>
      </c>
    </row>
    <row r="30" spans="1:13">
      <c r="A30" s="11">
        <v>29</v>
      </c>
      <c r="B30" s="12">
        <v>9</v>
      </c>
      <c r="C30" s="12">
        <v>2</v>
      </c>
      <c r="D30" s="12">
        <v>7</v>
      </c>
      <c r="E30" s="12">
        <v>7</v>
      </c>
      <c r="F30" s="12">
        <v>5</v>
      </c>
      <c r="G30" s="13">
        <v>352.68209999999999</v>
      </c>
      <c r="H30" s="13">
        <v>33.780999999999999</v>
      </c>
      <c r="I30" s="13">
        <v>98.723799999999997</v>
      </c>
      <c r="J30" s="13">
        <v>80.783500000000004</v>
      </c>
      <c r="K30" s="13">
        <v>91.393500000000003</v>
      </c>
      <c r="L30" s="13">
        <f t="shared" si="0"/>
        <v>657.36389999999994</v>
      </c>
      <c r="M30" s="10">
        <f t="shared" si="1"/>
        <v>66.912851428571457</v>
      </c>
    </row>
    <row r="31" spans="1:13">
      <c r="A31" s="11">
        <v>30</v>
      </c>
      <c r="B31" s="12">
        <v>7</v>
      </c>
      <c r="C31" s="12">
        <v>1</v>
      </c>
      <c r="D31" s="12">
        <v>7</v>
      </c>
      <c r="E31" s="12">
        <v>7</v>
      </c>
      <c r="F31" s="12">
        <v>8</v>
      </c>
      <c r="G31" s="13">
        <v>282.12169999999998</v>
      </c>
      <c r="H31" s="13">
        <v>21.125299999999999</v>
      </c>
      <c r="I31" s="13">
        <v>83.229299999999995</v>
      </c>
      <c r="J31" s="13">
        <v>48.600299999999997</v>
      </c>
      <c r="K31" s="13">
        <v>157.91040000000001</v>
      </c>
      <c r="L31" s="13">
        <f t="shared" si="0"/>
        <v>592.98699999999997</v>
      </c>
      <c r="M31" s="10">
        <f t="shared" si="1"/>
        <v>2.5359514285714795</v>
      </c>
    </row>
    <row r="32" spans="1:13">
      <c r="A32" s="11">
        <v>31</v>
      </c>
      <c r="B32" s="12">
        <v>7</v>
      </c>
      <c r="C32" s="12">
        <v>1</v>
      </c>
      <c r="D32" s="12">
        <v>9</v>
      </c>
      <c r="E32" s="12">
        <v>6</v>
      </c>
      <c r="F32" s="12">
        <v>7</v>
      </c>
      <c r="G32" s="13">
        <v>59.855600000000003</v>
      </c>
      <c r="H32" s="13">
        <v>35.830399999999997</v>
      </c>
      <c r="I32" s="13">
        <v>110.80889999999999</v>
      </c>
      <c r="J32" s="13">
        <v>210.95939999999999</v>
      </c>
      <c r="K32" s="13">
        <v>57.0276</v>
      </c>
      <c r="L32" s="13">
        <f t="shared" si="0"/>
        <v>474.4819</v>
      </c>
      <c r="M32" s="10">
        <f t="shared" si="1"/>
        <v>115.96914857142849</v>
      </c>
    </row>
    <row r="33" spans="1:13">
      <c r="A33" s="11">
        <v>32</v>
      </c>
      <c r="B33" s="12">
        <v>9</v>
      </c>
      <c r="C33" s="12">
        <v>2</v>
      </c>
      <c r="D33" s="12">
        <v>7</v>
      </c>
      <c r="E33" s="12">
        <v>6</v>
      </c>
      <c r="F33" s="12">
        <v>6</v>
      </c>
      <c r="G33" s="13">
        <v>144.54900000000001</v>
      </c>
      <c r="H33" s="13">
        <v>54.9512</v>
      </c>
      <c r="I33" s="13">
        <v>131.8261</v>
      </c>
      <c r="J33" s="13">
        <v>187.68119999999999</v>
      </c>
      <c r="K33" s="13">
        <v>38.105400000000003</v>
      </c>
      <c r="L33" s="13">
        <f t="shared" si="0"/>
        <v>557.11289999999997</v>
      </c>
      <c r="M33" s="10">
        <f t="shared" si="1"/>
        <v>33.338148571428519</v>
      </c>
    </row>
    <row r="34" spans="1:13">
      <c r="A34" s="11">
        <v>33</v>
      </c>
      <c r="B34" s="12">
        <v>7</v>
      </c>
      <c r="C34" s="12">
        <v>4</v>
      </c>
      <c r="D34" s="12">
        <v>8</v>
      </c>
      <c r="E34" s="12">
        <v>3</v>
      </c>
      <c r="F34" s="12">
        <v>8</v>
      </c>
      <c r="G34" s="13">
        <v>312.16149999999999</v>
      </c>
      <c r="H34" s="13">
        <v>59.918399999999998</v>
      </c>
      <c r="I34" s="13">
        <v>78.680800000000005</v>
      </c>
      <c r="J34" s="13">
        <v>47.903100000000002</v>
      </c>
      <c r="K34" s="13">
        <v>116.98399999999999</v>
      </c>
      <c r="L34" s="13">
        <f t="shared" si="0"/>
        <v>615.64780000000007</v>
      </c>
      <c r="M34" s="10">
        <f t="shared" si="1"/>
        <v>25.196751428571588</v>
      </c>
    </row>
    <row r="35" spans="1:13">
      <c r="A35" s="11">
        <v>34</v>
      </c>
      <c r="B35" s="12">
        <v>8</v>
      </c>
      <c r="C35" s="12">
        <v>1</v>
      </c>
      <c r="D35" s="12">
        <v>7</v>
      </c>
      <c r="E35" s="12">
        <v>7</v>
      </c>
      <c r="F35" s="12">
        <v>7</v>
      </c>
      <c r="G35" s="13">
        <v>66.34</v>
      </c>
      <c r="H35" s="13">
        <v>35.422400000000003</v>
      </c>
      <c r="I35" s="13">
        <v>179.2021</v>
      </c>
      <c r="J35" s="13">
        <v>159.77500000000001</v>
      </c>
      <c r="K35" s="13">
        <v>55.018599999999999</v>
      </c>
      <c r="L35" s="13">
        <f t="shared" si="0"/>
        <v>495.75810000000001</v>
      </c>
      <c r="M35" s="10">
        <f t="shared" si="1"/>
        <v>94.692948571428474</v>
      </c>
    </row>
    <row r="36" spans="1:13">
      <c r="A36" s="11">
        <v>35</v>
      </c>
      <c r="B36" s="12">
        <v>9</v>
      </c>
      <c r="C36" s="12">
        <v>2</v>
      </c>
      <c r="D36" s="12">
        <v>5</v>
      </c>
      <c r="E36" s="12">
        <v>7</v>
      </c>
      <c r="F36" s="12">
        <v>7</v>
      </c>
      <c r="G36" s="13">
        <v>105.6159</v>
      </c>
      <c r="H36" s="13">
        <v>54.49</v>
      </c>
      <c r="I36" s="13">
        <v>77.474999999999994</v>
      </c>
      <c r="J36" s="13">
        <v>276.51960000000003</v>
      </c>
      <c r="K36" s="13">
        <v>42.154699999999998</v>
      </c>
      <c r="L36" s="13">
        <f t="shared" si="0"/>
        <v>556.25520000000006</v>
      </c>
      <c r="M36" s="10">
        <f t="shared" si="1"/>
        <v>34.195848571428428</v>
      </c>
    </row>
    <row r="37" spans="1:13" s="3" customFormat="1">
      <c r="A37" s="14" t="s">
        <v>0</v>
      </c>
      <c r="B37" s="15">
        <f t="shared" ref="B37:F37" si="2">MAX(B2:B36)</f>
        <v>9</v>
      </c>
      <c r="C37" s="15">
        <f t="shared" si="2"/>
        <v>6</v>
      </c>
      <c r="D37" s="15">
        <f t="shared" si="2"/>
        <v>9</v>
      </c>
      <c r="E37" s="15">
        <f t="shared" si="2"/>
        <v>8</v>
      </c>
      <c r="F37" s="15">
        <f t="shared" si="2"/>
        <v>10</v>
      </c>
      <c r="G37" s="16">
        <f t="shared" ref="G37:K37" si="3">MAX(G2:G36)</f>
        <v>397.49759999999998</v>
      </c>
      <c r="H37" s="16">
        <f t="shared" si="3"/>
        <v>144.19800000000001</v>
      </c>
      <c r="I37" s="16">
        <f t="shared" si="3"/>
        <v>333.15300000000002</v>
      </c>
      <c r="J37" s="16">
        <f t="shared" si="3"/>
        <v>276.51960000000003</v>
      </c>
      <c r="K37" s="16">
        <f t="shared" si="3"/>
        <v>318.16320000000002</v>
      </c>
      <c r="L37" s="16">
        <f>MAX(L2:L36)</f>
        <v>715.83540000000005</v>
      </c>
      <c r="M37" s="10">
        <f>SUM(M2:M36)</f>
        <v>1558.0906571428582</v>
      </c>
    </row>
    <row r="38" spans="1:13" s="3" customFormat="1">
      <c r="A38" s="14" t="s">
        <v>1</v>
      </c>
      <c r="B38" s="15">
        <f t="shared" ref="B38:F38" si="4">MIN(B2:B36)</f>
        <v>4</v>
      </c>
      <c r="C38" s="15">
        <f t="shared" si="4"/>
        <v>1</v>
      </c>
      <c r="D38" s="15">
        <f t="shared" si="4"/>
        <v>5</v>
      </c>
      <c r="E38" s="15">
        <f t="shared" si="4"/>
        <v>1</v>
      </c>
      <c r="F38" s="15">
        <f t="shared" si="4"/>
        <v>4</v>
      </c>
      <c r="G38" s="16">
        <f t="shared" ref="G38:K38" si="5">MIN(G2:G36)</f>
        <v>39.127200000000002</v>
      </c>
      <c r="H38" s="16">
        <f t="shared" si="5"/>
        <v>10.3066</v>
      </c>
      <c r="I38" s="16">
        <f t="shared" si="5"/>
        <v>30.242999999999999</v>
      </c>
      <c r="J38" s="16">
        <f t="shared" si="5"/>
        <v>4.0365000000000002</v>
      </c>
      <c r="K38" s="16">
        <f t="shared" si="5"/>
        <v>24.545000000000002</v>
      </c>
      <c r="L38" s="16">
        <f>MIN(L2:L36)</f>
        <v>463.72039999999998</v>
      </c>
      <c r="M38" s="10"/>
    </row>
    <row r="39" spans="1:13">
      <c r="A39" s="17" t="s">
        <v>3</v>
      </c>
      <c r="B39" s="17">
        <f t="shared" ref="B39:F39" si="6">AVERAGE(B2:B36)</f>
        <v>7.4857142857142858</v>
      </c>
      <c r="C39" s="17">
        <f t="shared" si="6"/>
        <v>2.4</v>
      </c>
      <c r="D39" s="17">
        <f t="shared" si="6"/>
        <v>7.0285714285714285</v>
      </c>
      <c r="E39" s="17">
        <f t="shared" si="6"/>
        <v>6</v>
      </c>
      <c r="F39" s="17">
        <f t="shared" si="6"/>
        <v>7.0857142857142854</v>
      </c>
      <c r="G39" s="17">
        <f t="shared" ref="G39:K39" si="7">AVERAGE(G2:G36)</f>
        <v>193.08246857142859</v>
      </c>
      <c r="H39" s="17">
        <f t="shared" si="7"/>
        <v>53.152977142857139</v>
      </c>
      <c r="I39" s="17">
        <f t="shared" si="7"/>
        <v>117.44419428571429</v>
      </c>
      <c r="J39" s="17">
        <f t="shared" si="7"/>
        <v>94.663737142857144</v>
      </c>
      <c r="K39" s="17">
        <f t="shared" si="7"/>
        <v>132.10767142857142</v>
      </c>
      <c r="L39" s="17">
        <f>AVERAGE(L2:L36)</f>
        <v>590.45104857142849</v>
      </c>
      <c r="M39" s="10"/>
    </row>
    <row r="40" spans="1:13">
      <c r="A40" s="17" t="s">
        <v>4</v>
      </c>
      <c r="B40" s="17">
        <f t="shared" ref="B40:F40" si="8">_xlfn.STDEV.S(B2:B36)</f>
        <v>1.4627015410941941</v>
      </c>
      <c r="C40" s="17">
        <f t="shared" si="8"/>
        <v>1.2649110640673518</v>
      </c>
      <c r="D40" s="17">
        <f t="shared" si="8"/>
        <v>1.2481919697215287</v>
      </c>
      <c r="E40" s="17">
        <f t="shared" si="8"/>
        <v>1.5146344928922038</v>
      </c>
      <c r="F40" s="17">
        <f t="shared" si="8"/>
        <v>1.2688908674954866</v>
      </c>
      <c r="G40" s="17">
        <f t="shared" ref="G40:K40" si="9">_xlfn.STDEV.S(G2:G36)</f>
        <v>89.744947521762882</v>
      </c>
      <c r="H40" s="17">
        <f t="shared" si="9"/>
        <v>32.189804437951764</v>
      </c>
      <c r="I40" s="17">
        <f t="shared" si="9"/>
        <v>73.763959921299914</v>
      </c>
      <c r="J40" s="17">
        <f t="shared" si="9"/>
        <v>62.006020140310895</v>
      </c>
      <c r="K40" s="17">
        <f t="shared" si="9"/>
        <v>73.625258901917974</v>
      </c>
      <c r="L40" s="17">
        <f>_xlfn.STDEV.S(L2:L36)</f>
        <v>57.287707979391051</v>
      </c>
      <c r="M40" s="10"/>
    </row>
    <row r="41" spans="1:13">
      <c r="A41" s="17" t="s">
        <v>5</v>
      </c>
      <c r="B41" s="17">
        <f t="shared" ref="B41:F41" si="10">_xlfn.STDEV.S(B2:B36)/AVERAGE(B2:B36)</f>
        <v>0.19539906083319386</v>
      </c>
      <c r="C41" s="17">
        <f t="shared" si="10"/>
        <v>0.52704627669472992</v>
      </c>
      <c r="D41" s="17">
        <f t="shared" si="10"/>
        <v>0.17758828837501425</v>
      </c>
      <c r="E41" s="17">
        <f t="shared" si="10"/>
        <v>0.25243908214870064</v>
      </c>
      <c r="F41" s="17">
        <f t="shared" si="10"/>
        <v>0.17907734017073401</v>
      </c>
      <c r="G41" s="17">
        <f t="shared" ref="G41:K41" si="11">_xlfn.STDEV.S(G2:G36)/AVERAGE(G2:G36)</f>
        <v>0.46480111936502816</v>
      </c>
      <c r="H41" s="17">
        <f t="shared" si="11"/>
        <v>0.60560680075241147</v>
      </c>
      <c r="I41" s="17">
        <f t="shared" si="11"/>
        <v>0.62807668246119885</v>
      </c>
      <c r="J41" s="17">
        <f t="shared" si="11"/>
        <v>0.65501344032866082</v>
      </c>
      <c r="K41" s="17">
        <f t="shared" si="11"/>
        <v>0.55731251717449293</v>
      </c>
      <c r="L41" s="17">
        <f>_xlfn.STDEV.S(L2:L36)/AVERAGE(L2:L36)</f>
        <v>9.7023636621522233E-2</v>
      </c>
      <c r="M41" s="10"/>
    </row>
    <row r="42" spans="1:13">
      <c r="A42" s="21"/>
    </row>
  </sheetData>
  <phoneticPr fontId="1" type="noConversion"/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溫國抆</cp:lastModifiedBy>
  <dcterms:created xsi:type="dcterms:W3CDTF">2025-03-11T10:41:48Z</dcterms:created>
  <dcterms:modified xsi:type="dcterms:W3CDTF">2026-04-27T12:24:53Z</dcterms:modified>
</cp:coreProperties>
</file>